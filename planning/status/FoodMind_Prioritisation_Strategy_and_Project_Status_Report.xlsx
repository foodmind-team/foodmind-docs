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6f5912aa3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s" sheetId="4" r:id="R899a003a61b14fbf"/>
    <x:sheet xmlns:r="http://schemas.openxmlformats.org/officeDocument/2006/relationships" name="Business Process" sheetId="3" r:id="R2073ed3b503d4645"/>
    <x:sheet xmlns:r="http://schemas.openxmlformats.org/officeDocument/2006/relationships" name="Technologies" sheetId="5" r:id="R29684ab0cbf844d9"/>
    <x:sheet xmlns:r="http://schemas.openxmlformats.org/officeDocument/2006/relationships" name="Project Status" sheetId="1" r:id="R1645872c9f9a4d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%"/>
  </x:numFmts>
  <x:fonts count="9">
    <x:font>
      <x:sz val="11"/>
      <x:color theme="1"/>
      <x:name val="Calibri"/>
    </x:font>
    <x:font>
      <x:b/>
      <x:sz val="11"/>
      <x:color theme="1"/>
      <x:name val="Calibri"/>
    </x:font>
    <x:font>
      <x:b/>
      <x:sz val="16"/>
      <x:color rgb="FFFFFFFF"/>
      <x:name val="Aptos Display"/>
    </x:font>
    <x:font>
      <x:i/>
      <x:sz val="10"/>
      <x:color rgb="FF5F6B66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1"/>
      <x:color rgb="FFFFFFFF"/>
      <x:name val="Aptos"/>
    </x:font>
    <x:font>
      <x:b/>
      <x:sz val="11"/>
      <x:color rgb="FFFFFFFF"/>
      <x:name val="Calibri"/>
    </x:font>
    <x:font>
      <x:sz val="9"/>
      <x:color rgb="FF5F6B66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244C3D"/>
      </x:patternFill>
    </x:fill>
    <x:fill>
      <x:patternFill patternType="solid">
        <x:fgColor rgb="FFE8F3EC"/>
      </x:patternFill>
    </x:fill>
    <x:fill>
      <x:patternFill patternType="solid">
        <x:fgColor rgb="FF3E7C59"/>
      </x:patternFill>
    </x:fill>
  </x:fills>
  <x:borders count="12">
    <x:border/>
    <x:border>
      <x:left style="thin">
        <x:color rgb="FFCBD5D1"/>
      </x:left>
      <x:right style="thin">
        <x:color rgb="FFCBD5D1"/>
      </x:right>
      <x:top style="thin">
        <x:color rgb="FFCBD5D1"/>
      </x:top>
      <x:bottom style="thin">
        <x:color rgb="FFCBD5D1"/>
      </x:bottom>
    </x:border>
    <x:border>
      <x:bottom style="thin">
        <x:color rgb="FFCBD5D1"/>
      </x:bottom>
    </x:border>
    <x:border>
      <x:top style="thin">
        <x:color rgb="FFCBD5D1"/>
      </x:top>
      <x:bottom style="thin">
        <x:color rgb="FFCBD5D1"/>
      </x:bottom>
    </x:border>
    <x:border>
      <x:right style="thin">
        <x:color rgb="FFCBD5D1"/>
      </x:right>
      <x:bottom style="thin">
        <x:color rgb="FFCBD5D1"/>
      </x:bottom>
    </x:border>
    <x:border>
      <x:left style="thin">
        <x:color rgb="FFCBD5D1"/>
      </x:left>
      <x:right style="thin">
        <x:color rgb="FFCBD5D1"/>
      </x:right>
      <x:bottom style="thin">
        <x:color rgb="FFCBD5D1"/>
      </x:bottom>
    </x:border>
    <x:border>
      <x:left style="thin">
        <x:color rgb="FFCBD5D1"/>
      </x:left>
      <x:bottom style="thin">
        <x:color rgb="FFCBD5D1"/>
      </x:bottom>
    </x:border>
    <x:border>
      <x:right style="thin">
        <x:color rgb="FFCBD5D1"/>
      </x:right>
      <x:top style="thin">
        <x:color rgb="FFCBD5D1"/>
      </x:top>
      <x:bottom style="thin">
        <x:color rgb="FFCBD5D1"/>
      </x:bottom>
    </x:border>
    <x:border>
      <x:left style="thin">
        <x:color rgb="FFCBD5D1"/>
      </x:left>
      <x:top style="thin">
        <x:color rgb="FFCBD5D1"/>
      </x:top>
      <x:bottom style="thin">
        <x:color rgb="FFCBD5D1"/>
      </x:bottom>
    </x:border>
    <x:border>
      <x:right style="thin">
        <x:color rgb="FFCBD5D1"/>
      </x:right>
      <x:top style="thin">
        <x:color rgb="FFCBD5D1"/>
      </x:top>
    </x:border>
    <x:border>
      <x:left style="thin">
        <x:color rgb="FFCBD5D1"/>
      </x:left>
      <x:right style="thin">
        <x:color rgb="FFCBD5D1"/>
      </x:right>
      <x:top style="thin">
        <x:color rgb="FFCBD5D1"/>
      </x:top>
    </x:border>
    <x:border>
      <x:left style="thin">
        <x:color rgb="FFCBD5D1"/>
      </x:left>
      <x:top style="thin">
        <x:color rgb="FFCBD5D1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Font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200" fontId="5" fillId="0" borderId="2" xfId="0" applyNumberFormat="1" applyFont="1" applyFill="1" applyBorder="1" applyAlignment="1">
      <x:alignment vertical="top" wrapText="1"/>
    </x:xf>
    <x:xf numFmtId="200" fontId="5" fillId="0" borderId="3" xfId="0" applyNumberFormat="1" applyFont="1" applyFill="1" applyBorder="1" applyAlignment="1">
      <x:alignment vertical="top" wrapText="1"/>
    </x:xf>
    <x:xf numFmtId="201" fontId="5" fillId="0" borderId="2" xfId="0" applyNumberFormat="1" applyFont="1" applyFill="1" applyBorder="1" applyAlignment="1">
      <x:alignment vertical="top" wrapText="1"/>
    </x:xf>
    <x:xf numFmtId="201" fontId="5" fillId="0" borderId="3" xfId="0" applyNumberFormat="1" applyFont="1" applyFill="1" applyBorder="1" applyAlignment="1">
      <x:alignment vertical="top" wrapText="1"/>
    </x:xf>
    <x:xf numFmtId="201" fontId="5" fillId="0" borderId="2" xfId="0" applyNumberFormat="1" applyFont="1" applyFill="1" applyBorder="1" applyAlignment="1">
      <x:alignment horizontal="center" vertical="top" wrapText="1"/>
    </x:xf>
    <x:xf numFmtId="201" fontId="5" fillId="0" borderId="3" xfId="0" applyNumberFormat="1" applyFont="1" applyFill="1" applyBorder="1" applyAlignment="1">
      <x:alignment horizontal="center" vertical="top" wrapText="1"/>
    </x:xf>
    <x:xf numFmtId="0" fontId="8" fillId="3" borderId="0" xfId="0" applyNumberFormat="1" applyFont="1" applyFill="1" applyBorder="1"/>
    <x:xf numFmtId="0" fontId="8" fillId="3" borderId="4" xfId="0" applyNumberFormat="1" applyFont="1" applyFill="1" applyBorder="1"/>
    <x:xf numFmtId="0" fontId="8" fillId="3" borderId="5" xfId="0" applyNumberFormat="1" applyFont="1" applyFill="1" applyBorder="1"/>
    <x:xf numFmtId="0" fontId="8" fillId="3" borderId="6" xfId="0" applyNumberFormat="1" applyFont="1" applyFill="1" applyBorder="1"/>
    <x:xf numFmtId="0" fontId="8" fillId="3" borderId="7" xfId="0" applyNumberFormat="1" applyFont="1" applyFill="1" applyBorder="1"/>
    <x:xf numFmtId="0" fontId="8" fillId="3" borderId="1" xfId="0" applyNumberFormat="1" applyFont="1" applyFill="1" applyBorder="1"/>
    <x:xf numFmtId="0" fontId="8" fillId="3" borderId="8" xfId="0" applyNumberFormat="1" applyFont="1" applyFill="1" applyBorder="1"/>
    <x:xf numFmtId="0" fontId="8" fillId="3" borderId="9" xfId="0" applyNumberFormat="1" applyFont="1" applyFill="1" applyBorder="1"/>
    <x:xf numFmtId="0" fontId="8" fillId="3" borderId="10" xfId="0" applyNumberFormat="1" applyFont="1" applyFill="1" applyBorder="1"/>
    <x:xf numFmtId="0" fontId="8" fillId="3" borderId="11" xfId="0" applyNumberFormat="1" applyFont="1" applyFill="1" applyBorder="1"/>
    <x:xf numFmtId="0" fontId="8" fillId="3" borderId="4" xfId="0" applyNumberFormat="1" applyFont="1" applyFill="1" applyBorder="1" applyAlignment="1">
      <x:alignment wrapText="1"/>
    </x:xf>
    <x:xf numFmtId="0" fontId="8" fillId="3" borderId="5" xfId="0" applyNumberFormat="1" applyFont="1" applyFill="1" applyBorder="1" applyAlignment="1">
      <x:alignment wrapText="1"/>
    </x:xf>
    <x:xf numFmtId="0" fontId="8" fillId="3" borderId="6" xfId="0" applyNumberFormat="1" applyFont="1" applyFill="1" applyBorder="1" applyAlignment="1">
      <x:alignment wrapText="1"/>
    </x:xf>
    <x:xf numFmtId="0" fontId="8" fillId="3" borderId="7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wrapText="1"/>
    </x:xf>
    <x:xf numFmtId="0" fontId="8" fillId="3" borderId="8" xfId="0" applyNumberFormat="1" applyFont="1" applyFill="1" applyBorder="1" applyAlignment="1">
      <x:alignment wrapText="1"/>
    </x:xf>
    <x:xf numFmtId="0" fontId="8" fillId="3" borderId="9" xfId="0" applyNumberFormat="1" applyFont="1" applyFill="1" applyBorder="1" applyAlignment="1">
      <x:alignment wrapText="1"/>
    </x:xf>
    <x:xf numFmtId="0" fontId="8" fillId="3" borderId="10" xfId="0" applyNumberFormat="1" applyFont="1" applyFill="1" applyBorder="1" applyAlignment="1">
      <x:alignment wrapText="1"/>
    </x:xf>
    <x:xf numFmtId="0" fontId="8" fillId="3" borderId="11" xfId="0" applyNumberFormat="1" applyFont="1" applyFill="1" applyBorder="1" applyAlignment="1">
      <x:alignment wrapText="1"/>
    </x:xf>
    <x:xf numFmtId="0" fontId="8" fillId="3" borderId="4" xfId="0" applyNumberFormat="1" applyFont="1" applyFill="1" applyBorder="1" applyAlignment="1">
      <x:alignment vertical="center" wrapText="1"/>
    </x:xf>
    <x:xf numFmtId="0" fontId="8" fillId="3" borderId="5" xfId="0" applyNumberFormat="1" applyFont="1" applyFill="1" applyBorder="1" applyAlignment="1">
      <x:alignment vertical="center" wrapText="1"/>
    </x:xf>
    <x:xf numFmtId="0" fontId="8" fillId="3" borderId="6" xfId="0" applyNumberFormat="1" applyFont="1" applyFill="1" applyBorder="1" applyAlignment="1">
      <x:alignment vertical="center" wrapText="1"/>
    </x:xf>
    <x:xf numFmtId="0" fontId="8" fillId="3" borderId="7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8" fillId="3" borderId="8" xfId="0" applyNumberFormat="1" applyFont="1" applyFill="1" applyBorder="1" applyAlignment="1">
      <x:alignment vertical="center" wrapText="1"/>
    </x:xf>
    <x:xf numFmtId="0" fontId="8" fillId="3" borderId="9" xfId="0" applyNumberFormat="1" applyFont="1" applyFill="1" applyBorder="1" applyAlignment="1">
      <x:alignment vertical="center" wrapText="1"/>
    </x:xf>
    <x:xf numFmtId="0" fontId="8" fillId="3" borderId="10" xfId="0" applyNumberFormat="1" applyFont="1" applyFill="1" applyBorder="1" applyAlignment="1">
      <x:alignment vertical="center" wrapText="1"/>
    </x:xf>
    <x:xf numFmtId="0" fontId="8" fillId="3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8A5A00"/>
      </x:font>
      <x:fill>
        <x:patternFill patternType="solid">
          <x:bgColor rgb="FFFFF8E8"/>
        </x:patternFill>
      </x:fill>
    </x:dxf>
    <x:dxf>
      <x:font>
        <x:b/>
        <x:color rgb="FF9B1C1C"/>
      </x:font>
      <x:fill>
        <x:patternFill patternType="solid">
          <x:bgColor rgb="FFFCE2E2"/>
        </x:patternFill>
      </x:fill>
    </x:dxf>
    <x:dxf>
      <x:font>
        <x:b/>
        <x:color rgb="FF5F6B66"/>
      </x:font>
      <x:fill>
        <x:patternFill patternType="solid">
          <x:bgColor rgb="FFEEF1F3"/>
        </x:patternFill>
      </x:fill>
    </x:dxf>
    <x:dxf>
      <x:font>
        <x:b/>
        <x:color rgb="FF9B1C1C"/>
      </x:font>
      <x:fill>
        <x:patternFill patternType="solid">
          <x:bgColor rgb="FFFCE2E2"/>
        </x:patternFill>
      </x:fill>
    </x:dxf>
    <x:dxf>
      <x:font>
        <x:b/>
        <x:color rgb="FF8A5A00"/>
      </x:font>
      <x:fill>
        <x:patternFill patternType="solid">
          <x:bgColor rgb="FFFFF8E8"/>
        </x:patternFill>
      </x:fill>
    </x:dxf>
    <x:dxf>
      <x:font>
        <x:b/>
        <x:color rgb="FF1E4F7A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2fecb32544f4c" /><Relationship Type="http://schemas.openxmlformats.org/officeDocument/2006/relationships/theme" Target="/xl/theme/theme1.xml" Id="R2090c8efc2d241e3" /><Relationship Type="http://schemas.openxmlformats.org/officeDocument/2006/relationships/sharedStrings" Target="/xl/sharedStrings.xml" Id="Re3384c43944e460f" /><Relationship Type="http://schemas.openxmlformats.org/officeDocument/2006/relationships/worksheet" Target="/xl/worksheets/sheet1.xml" Id="R899a003a61b14fbf" /><Relationship Type="http://schemas.openxmlformats.org/officeDocument/2006/relationships/worksheet" Target="/xl/worksheets/sheet2.xml" Id="R2073ed3b503d4645" /><Relationship Type="http://schemas.openxmlformats.org/officeDocument/2006/relationships/worksheet" Target="/xl/worksheets/sheet3.xml" Id="R29684ab0cbf844d9" /><Relationship Type="http://schemas.openxmlformats.org/officeDocument/2006/relationships/worksheet" Target="/xl/worksheets/sheet4.xml" Id="R1645872c9f9a4d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574580f77d4f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Readiness by Delivery Stage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Requirements</c:v>
          </c:tx>
          <c:cat>
            <c:strRef>
              <c:f>'Project Status'!$A$34:$A$36</c:f>
              <c:strCache>
                <c:ptCount val="0"/>
              </c:strCache>
            </c:strRef>
          </c:cat>
          <c:val>
            <c:numRef>
              <c:f>'Project Status'!$B$34:$B$36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Development</c:v>
          </c:tx>
          <c:cat>
            <c:strRef>
              <c:f>'Project Status'!$A$34:$A$36</c:f>
              <c:strCache>
                <c:ptCount val="0"/>
              </c:strCache>
            </c:strRef>
          </c:cat>
          <c:val>
            <c:numRef>
              <c:f>'Project Status'!$C$34:$C$36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Integration</c:v>
          </c:tx>
          <c:cat>
            <c:strRef>
              <c:f>'Project Status'!$A$34:$A$36</c:f>
              <c:strCache>
                <c:ptCount val="0"/>
              </c:strCache>
            </c:strRef>
          </c:cat>
          <c:val>
            <c:numRef>
              <c:f>'Project Status'!$D$34:$D$36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Cloud</c:v>
          </c:tx>
          <c:cat>
            <c:strRef>
              <c:f>'Project Status'!$A$34:$A$36</c:f>
              <c:strCache>
                <c:ptCount val="0"/>
              </c:strCache>
            </c:strRef>
          </c:cat>
          <c:val>
            <c:numRef>
              <c:f>'Project Status'!$E$34:$E$36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32</xdr:row>
      <xdr:rowOff>0</xdr:rowOff>
    </xdr:from>
    <xdr:to>
      <xdr:col>11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574580f77d4f6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oodMindFeaturesTable" displayName="FoodMindFeaturesTable" ref="A4:F22" headerRowCount="1" totalsRowCount="0" totalsRowShown="0">
  <x:tableColumns count="6">
    <x:tableColumn id="1" name="ID"/>
    <x:tableColumn id="2" name="Feature / User Story"/>
    <x:tableColumn id="3" name="Priority"/>
    <x:tableColumn id="4" name="Owner(s)"/>
    <x:tableColumn id="5" name="Additional Details"/>
    <x:tableColumn id="6" name="Acceptance Outcom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FoodMindBusinessProcessTable" displayName="FoodMindBusinessProcessTable" ref="A4:D22" headerRowCount="1" totalsRowCount="0" totalsRowShown="0">
  <x:tableColumns count="4">
    <x:tableColumn id="1" name="Workflow"/>
    <x:tableColumn id="2" name="Actor / Component"/>
    <x:tableColumn id="3" name="Feature / Action"/>
    <x:tableColumn id="4" name="Outcome / Contro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oodMindTechnologiesTable" displayName="FoodMindTechnologiesTable" ref="A4:E20" headerRowCount="1" totalsRowCount="0" totalsRowShown="0">
  <x:tableColumns count="5">
    <x:tableColumn id="1" name="Feature / Layer"/>
    <x:tableColumn id="2" name="Implementation Technologies"/>
    <x:tableColumn id="3" name="Repository"/>
    <x:tableColumn id="4" name="Owner"/>
    <x:tableColumn id="5" name="Architecture Note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FoodMindProjectStatusTable" displayName="FoodMindProjectStatusTable" ref="A4:K22" headerRowCount="1" totalsRowCount="0" totalsRowShown="0">
  <x:tableColumns count="11">
    <x:tableColumn id="1" name="ID"/>
    <x:tableColumn id="2" name="Feature"/>
    <x:tableColumn id="3" name="Technology / Repository"/>
    <x:tableColumn id="4" name="Owner"/>
    <x:tableColumn id="5" name="Priority"/>
    <x:tableColumn id="6" name="Requirements"/>
    <x:tableColumn id="7" name="Development"/>
    <x:tableColumn id="8" name="Integration Testing"/>
    <x:tableColumn id="9" name="Deployed to Cloud"/>
    <x:tableColumn id="10" name="Overall Progress"/>
    <x:tableColumn id="11" name="Evidence / Next Step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4565fc92d244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204a46032847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861f639bd64b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75904fd2a9c457f" /><Relationship Type="http://schemas.openxmlformats.org/officeDocument/2006/relationships/table" Target="/xl/tables/table4.xml" Id="R5fde854852cc47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449999809265137"/>
  <x:cols>
    <x:col min="1" max="1" width="12" hidden="0" customWidth="1"/>
    <x:col min="2" max="2" width="25" hidden="0" customWidth="1"/>
    <x:col min="3" max="3" width="71" hidden="0" customWidth="1"/>
    <x:col min="4" max="4" width="54" hidden="0" customWidth="1"/>
    <x:col min="5" max="5" width="54" hidden="0" customWidth="1"/>
    <x:col min="6" max="6" width="48" hidden="0" customWidth="1"/>
  </x:cols>
  <x:sheetData>
    <x:row r="1" ht="28" customHeight="1">
      <x:c r="A1" s="4" t="str">
        <x:v>FoodMind — Feature Prioritisation</x:v>
      </x:c>
      <x:c r="B1" s="4" t="str">
        <x:v>FoodMind — Feature Prioritisation</x:v>
      </x:c>
      <x:c r="C1" s="4" t="str">
        <x:v>FoodMind — Feature Prioritisation</x:v>
      </x:c>
      <x:c r="D1" s="4" t="str">
        <x:v>FoodMind — Feature Prioritisation</x:v>
      </x:c>
      <x:c r="E1" s="4" t="str">
        <x:v>FoodMind — Feature Prioritisation</x:v>
      </x:c>
      <x:c r="F1" s="4" t="str">
        <x:v>FoodMind — Feature Prioritisation</x:v>
      </x:c>
    </x:row>
    <x:row r="2" ht="30" customHeight="1">
      <x:c r="A2" s="8" t="str">
        <x:v>Frozen MVP scope translated into implementation-ready features. Priority controls sequence, not whether an approved MVP feature exists.</x:v>
      </x:c>
      <x:c r="B2" s="8" t="str">
        <x:v>Frozen MVP scope translated into implementation-ready features. Priority controls sequence, not whether an approved MVP feature exists.</x:v>
      </x:c>
      <x:c r="C2" s="8" t="str">
        <x:v>Frozen MVP scope translated into implementation-ready features. Priority controls sequence, not whether an approved MVP feature exists.</x:v>
      </x:c>
      <x:c r="D2" s="8" t="str">
        <x:v>Frozen MVP scope translated into implementation-ready features. Priority controls sequence, not whether an approved MVP feature exists.</x:v>
      </x:c>
      <x:c r="E2" s="8" t="str">
        <x:v>Frozen MVP scope translated into implementation-ready features. Priority controls sequence, not whether an approved MVP feature exists.</x:v>
      </x:c>
      <x:c r="F2" s="8" t="str">
        <x:v>Frozen MVP scope translated into implementation-ready features. Priority controls sequence, not whether an approved MVP feature exists.</x:v>
      </x:c>
    </x:row>
    <x:row r="3">
      <x:c r="A3"/>
      <x:c r="B3"/>
      <x:c r="C3"/>
      <x:c r="D3"/>
      <x:c r="E3"/>
      <x:c r="F3"/>
    </x:row>
    <x:row r="4" ht="31" customHeight="1">
      <x:c r="A4" s="12" t="str">
        <x:v>ID</x:v>
      </x:c>
      <x:c r="B4" s="12" t="str">
        <x:v>Feature / User Story</x:v>
      </x:c>
      <x:c r="C4" s="12" t="str">
        <x:v>Priority</x:v>
      </x:c>
      <x:c r="D4" s="12" t="str">
        <x:v>Owner(s)</x:v>
      </x:c>
      <x:c r="E4" s="12" t="str">
        <x:v>Additional Details</x:v>
      </x:c>
      <x:c r="F4" s="12" t="str">
        <x:v>Acceptance Outcome</x:v>
      </x:c>
    </x:row>
    <x:row r="5">
      <x:c r="A5" s="18" t="str">
        <x:v>UX-01</x:v>
      </x:c>
      <x:c r="B5" s="18" t="str">
        <x:v>Recommendation-first Web home shell</x:v>
      </x:c>
      <x:c r="C5" s="20" t="str">
        <x:v>P0</x:v>
      </x:c>
      <x:c r="D5" s="18" t="str">
        <x:v>Chen Yaqi</x:v>
      </x:c>
      <x:c r="E5" s="18" t="str">
        <x:v>Responsive React home with an Eat out &amp; delivery / Cooking top switch, prominent Generate Recommendation action, Groups, Explore, Saved and profile destinations.</x:v>
      </x:c>
      <x:c r="F5" s="18" t="str">
        <x:v>The lead recommendation action is unmistakable in the first viewport and the shell works at mobile, tablet and desktop widths.</x:v>
      </x:c>
    </x:row>
    <x:row r="6">
      <x:c r="A6" s="19" t="str">
        <x:v>UX-02</x:v>
      </x:c>
      <x:c r="B6" s="19" t="str">
        <x:v>Recommendation-first Android home shell</x:v>
      </x:c>
      <x:c r="C6" s="21" t="str">
        <x:v>P0</x:v>
      </x:c>
      <x:c r="D6" s="19" t="str">
        <x:v>Member A / Member C</x:v>
      </x:c>
      <x:c r="E6" s="19" t="str">
        <x:v>Native Android shell, mode switch, labelled bottom navigation, recommendation context and result-card states. Member A owns the foundation; Member C owns recommendation behaviour.</x:v>
      </x:c>
      <x:c r="F6" s="19" t="str">
        <x:v>The native app exposes the same modes and business destinations as Web while following Android navigation and accessibility conventions.</x:v>
      </x:c>
    </x:row>
    <x:row r="7">
      <x:c r="A7" s="19" t="str">
        <x:v>UC-01</x:v>
      </x:c>
      <x:c r="B7" s="19" t="str">
        <x:v>Register, sign in and manage profile/preferences</x:v>
      </x:c>
      <x:c r="C7" s="21" t="str">
        <x:v>P0</x:v>
      </x:c>
      <x:c r="D7" s="19" t="str">
        <x:v>Chen Yaqi / Member A</x:v>
      </x:c>
      <x:c r="E7" s="19" t="str">
        <x:v>JWT-backed account, session, cuisine/spice/budget/dietary/location preferences and client validation parity.</x:v>
      </x:c>
      <x:c r="F7" s="19" t="str">
        <x:v>A user can securely register, sign in, update preferences and recover from an expired session on Web and Android.</x:v>
      </x:c>
    </x:row>
    <x:row r="8">
      <x:c r="A8" s="19" t="str">
        <x:v>UC-02</x:v>
      </x:c>
      <x:c r="B8" s="19" t="str">
        <x:v>Create and manage food/drink records and history</x:v>
      </x:c>
      <x:c r="C8" s="21" t="str">
        <x:v>P0</x:v>
      </x:c>
      <x:c r="D8" s="19" t="str">
        <x:v>Chen Yaqi / Member B</x:v>
      </x:c>
      <x:c r="E8" s="19" t="str">
        <x:v>Create, edit, delete, filter and view records with meal/place, price, rating, notes, photo metadata, visibility and Would Eat Again.</x:v>
      </x:c>
      <x:c r="F8" s="19" t="str">
        <x:v>Authorised users can manage their records and retrieve consistent daily, weekly and monthly history.</x:v>
      </x:c>
    </x:row>
    <x:row r="9">
      <x:c r="A9" s="19" t="str">
        <x:v>UC-03</x:v>
      </x:c>
      <x:c r="B9" s="19" t="str">
        <x:v>Trusted groups, group feed and Want to Try</x:v>
      </x:c>
      <x:c r="C9" s="21" t="str">
        <x:v>P0</x:v>
      </x:c>
      <x:c r="D9" s="19" t="str">
        <x:v>Chen Yaqi / Member B</x:v>
      </x:c>
      <x:c r="E9" s="19" t="str">
        <x:v>Create/join groups, membership and visibility checks, group feed, shared decision context, selected-result sharing and Want to Try.</x:v>
      </x:c>
      <x:c r="F9" s="19" t="str">
        <x:v>Only active members can read Group-visible content, and group context can be used safely in recommendation requests.</x:v>
      </x:c>
    </x:row>
    <x:row r="10">
      <x:c r="A10" s="19" t="str">
        <x:v>UX-03</x:v>
      </x:c>
      <x:c r="B10" s="19" t="str">
        <x:v>Permission-safe Explore</x:v>
      </x:c>
      <x:c r="C10" s="21" t="str">
        <x:v>P1</x:v>
      </x:c>
      <x:c r="D10" s="19" t="str">
        <x:v>Chen Yaqi / Member B</x:v>
      </x:c>
      <x:c r="E10" s="19" t="str">
        <x:v>Image-led discovery surface composed only from authorised group-visible records and curated platform content; no public/follower feed or public internet search.</x:v>
      </x:c>
      <x:c r="F10" s="19" t="str">
        <x:v>Every Explore item retains its source visibility rule and inaccessible content never appears.</x:v>
      </x:c>
    </x:row>
    <x:row r="11">
      <x:c r="A11" s="19" t="str">
        <x:v>UC-04</x:v>
      </x:c>
      <x:c r="B11" s="19" t="str">
        <x:v>Generate explainable ordered recommendations</x:v>
      </x:c>
      <x:c r="C11" s="21" t="str">
        <x:v>P0</x:v>
      </x:c>
      <x:c r="D11" s="19" t="str">
        <x:v>Chen Yaqi / Wu Aomo / Member C</x:v>
      </x:c>
      <x:c r="E11" s="19" t="str">
        <x:v>Hard constraints, UserCF, ItemCF and Logistic Regression produce up to three ordered Personal, Exploratory and Group-inspired candidates.</x:v>
      </x:c>
      <x:c r="F11" s="19" t="str">
        <x:v>The client spotlights one lead result; Try another cycles the same response without creating a hidden new session.</x:v>
      </x:c>
    </x:row>
    <x:row r="12">
      <x:c r="A12" s="19" t="str">
        <x:v>UC-05</x:v>
      </x:c>
      <x:c r="B12" s="19" t="str">
        <x:v>Recommendation feedback loop</x:v>
      </x:c>
      <x:c r="C12" s="21" t="str">
        <x:v>P0</x:v>
      </x:c>
      <x:c r="D12" s="19" t="str">
        <x:v>Chen Yaqi / Wu Aomo / Member C</x:v>
      </x:c>
      <x:c r="E12" s="19" t="str">
        <x:v>Accept, reject with reason, re-recommend, later rating and Would Eat Again are stored as explicit events for analytics and offline learning.</x:v>
      </x:c>
      <x:c r="F12" s="19" t="str">
        <x:v>Feedback is traceable to a session/candidate and passive non-selection is never treated as a negative label.</x:v>
      </x:c>
    </x:row>
    <x:row r="13">
      <x:c r="A13" s="19" t="str">
        <x:v>UC-06</x:v>
      </x:c>
      <x:c r="B13" s="19" t="str">
        <x:v>Generate a cooking plan</x:v>
      </x:c>
      <x:c r="C13" s="21" t="str">
        <x:v>P1</x:v>
      </x:c>
      <x:c r="D13" s="19" t="str">
        <x:v>Huang Qijun / Member D</x:v>
      </x:c>
      <x:c r="E13" s="19" t="str">
        <x:v>Independent Cooking Planner chain using manually entered or authorised pantry context, servings, time, budget, dietary rules and a controlled recipe catalogue.</x:v>
      </x:c>
      <x:c r="F13" s="19" t="str">
        <x:v>Return structured ingredients, ordered steps, warnings and source recipe ID; no automatic inventory capture.</x:v>
      </x:c>
    </x:row>
    <x:row r="14">
      <x:c r="A14" s="19" t="str">
        <x:v>UC-07</x:v>
      </x:c>
      <x:c r="B14" s="19" t="str">
        <x:v>Search authorised platform content through Chatbot</x:v>
      </x:c>
      <x:c r="C14" s="21" t="str">
        <x:v>P1</x:v>
      </x:c>
      <x:c r="D14" s="19" t="str">
        <x:v>Chen Yaqi / Member D</x:v>
      </x:c>
      <x:c r="E14" s="19" t="str">
        <x:v>Chatbot Orchestrator routes search to the Platform Search Agent across authorised Meal Notes, Food Products and Places.</x:v>
      </x:c>
      <x:c r="F14" s="19" t="str">
        <x:v>Results include source references and never bypass ownership or active group membership.</x:v>
      </x:c>
    </x:row>
    <x:row r="15">
      <x:c r="A15" s="19" t="str">
        <x:v>UC-08</x:v>
      </x:c>
      <x:c r="B15" s="19" t="str">
        <x:v>Summarise and compare shared platform content</x:v>
      </x:c>
      <x:c r="C15" s="21" t="str">
        <x:v>P1</x:v>
      </x:c>
      <x:c r="D15" s="19" t="str">
        <x:v>Chen Yaqi / Member D</x:v>
      </x:c>
      <x:c r="E15" s="19" t="str">
        <x:v>Content Summary Agent operates only on content explicitly shared into a Chatbot conversation and resolved through authorised backend tools.</x:v>
      </x:c>
      <x:c r="F15" s="19" t="str">
        <x:v>Summaries/comparisons are grounded in source IDs and reject inaccessible or unsupported claims.</x:v>
      </x:c>
    </x:row>
    <x:row r="16">
      <x:c r="A16" s="19" t="str">
        <x:v>UC-09</x:v>
      </x:c>
      <x:c r="B16" s="19" t="str">
        <x:v>Personal dashboard and weekly recap</x:v>
      </x:c>
      <x:c r="C16" s="21" t="str">
        <x:v>P1</x:v>
      </x:c>
      <x:c r="D16" s="19" t="str">
        <x:v>Chen Yaqi / Member C</x:v>
      </x:c>
      <x:c r="E16" s="19" t="str">
        <x:v>Shared backend metric definitions for cuisine mix, spending trend, recommendation outcomes and periodic recap; Recharts on Web and Vico on Android.</x:v>
      </x:c>
      <x:c r="F16" s="19" t="str">
        <x:v>Web and Android display the same metric values with accessible text summaries.</x:v>
      </x:c>
    </x:row>
    <x:row r="17">
      <x:c r="A17" s="19" t="str">
        <x:v>ARC-01</x:v>
      </x:c>
      <x:c r="B17" s="19" t="str">
        <x:v>Public API, security and persistence foundation</x:v>
      </x:c>
      <x:c r="C17" s="21" t="str">
        <x:v>P0</x:v>
      </x:c>
      <x:c r="D17" s="19" t="str">
        <x:v>Chen Yaqi</x:v>
      </x:c>
      <x:c r="E17" s="19" t="str">
        <x:v>Spring Boot /api/v1, Spring Security, JWT, JPA, PostgreSQL, ownership/group checks, validation and orchestration.</x:v>
      </x:c>
      <x:c r="F17" s="19" t="str">
        <x:v>Clients use only the public API; secrets, database access and private service credentials remain server-side.</x:v>
      </x:c>
    </x:row>
    <x:row r="18">
      <x:c r="A18" s="19" t="str">
        <x:v>ARC-02</x:v>
      </x:c>
      <x:c r="B18" s="19" t="str">
        <x:v>Private Agent and runtime inference services</x:v>
      </x:c>
      <x:c r="C18" s="21" t="str">
        <x:v>P0</x:v>
      </x:c>
      <x:c r="D18" s="19" t="str">
        <x:v>Chen Yaqi / Huang Qijun</x:v>
      </x:c>
      <x:c r="E18" s="19" t="str">
        <x:v>Five-agent runtime plus a logically separate private inference service in foodmind-intelligence, with Pydantic contracts and service authentication.</x:v>
      </x:c>
      <x:c r="F18" s="19" t="str">
        <x:v>Agents use allow-listed backend tools, cannot access PostgreSQL directly and return schema-validated grounded results.</x:v>
      </x:c>
    </x:row>
    <x:row r="19">
      <x:c r="A19" s="19" t="str">
        <x:v>ML-01</x:v>
      </x:c>
      <x:c r="B19" s="19" t="str">
        <x:v>Offline ML pipeline, evaluation and model package</x:v>
      </x:c>
      <x:c r="C19" s="21" t="str">
        <x:v>P0</x:v>
      </x:c>
      <x:c r="D19" s="19" t="str">
        <x:v>Wu Aomo</x:v>
      </x:c>
      <x:c r="E19" s="19" t="str">
        <x:v>Data validation, UserCF, ItemCF, LR training, time-aware evaluation, Top-1/Top-3 reporting and immutable model package with manifest/checksum.</x:v>
      </x:c>
      <x:c r="F19" s="19" t="str">
        <x:v>A reproducible approved package passes consumer-contract tests before foodmind-intelligence loads it.</x:v>
      </x:c>
    </x:row>
    <x:row r="20">
      <x:c r="A20" s="19" t="str">
        <x:v>QA-01</x:v>
      </x:c>
      <x:c r="B20" s="19" t="str">
        <x:v>Cross-client parity and contract integration</x:v>
      </x:c>
      <x:c r="C20" s="21" t="str">
        <x:v>P0</x:v>
      </x:c>
      <x:c r="D20" s="19" t="str">
        <x:v>Chen Yaqi / All members</x:v>
      </x:c>
      <x:c r="E20" s="19" t="str">
        <x:v>Versioned public/internal contracts, Android-Web parity matrix, fixtures, permission/error states and end-to-end UC-01 to UC-09 checks.</x:v>
      </x:c>
      <x:c r="F20" s="19" t="str">
        <x:v>The same inputs produce consistent permissions, validation and metrics across both clients.</x:v>
      </x:c>
    </x:row>
    <x:row r="21">
      <x:c r="A21" s="19" t="str">
        <x:v>OPS-01</x:v>
      </x:c>
      <x:c r="B21" s="19" t="str">
        <x:v>CI/CD, cloud, security and UAT evidence</x:v>
      </x:c>
      <x:c r="C21" s="21" t="str">
        <x:v>P0</x:v>
      </x:c>
      <x:c r="D21" s="19" t="str">
        <x:v>Chen Yaqi / All members</x:v>
      </x:c>
      <x:c r="E21" s="19" t="str">
        <x:v>Repository checks, container/dependency/secret scans, HTTPS cloud demonstration, OWASP ZAP, UAT evidence and final demo artefacts.</x:v>
      </x:c>
      <x:c r="F21" s="19" t="str">
        <x:v>Every demonstrated feature is tied to a reviewed commit, environment, test result and owner evidence.</x:v>
      </x:c>
    </x:row>
    <x:row r="22">
      <x:c r="A22" s="19" t="str">
        <x:v>DOC-01</x:v>
      </x:c>
      <x:c r="B22" s="19" t="str">
        <x:v>Documentation, scope governance and delivery tracking</x:v>
      </x:c>
      <x:c r="C22" s="21" t="str">
        <x:v>P0</x:v>
      </x:c>
      <x:c r="D22" s="19" t="str">
        <x:v>Chen Yaqi / All members</x:v>
      </x:c>
      <x:c r="E22" s="19" t="str">
        <x:v>Formal Proposal/PPTX remain frozen; canonical guide, architecture/API/UX/ML documents, ownership and project status stay aligned.</x:v>
      </x:c>
      <x:c r="F22" s="19" t="str">
        <x:v>No document claims implementation without repository evidence, and cross-repository changes are traceable through PRs.</x:v>
      </x:c>
    </x:row>
    <x:row r="25" ht="22" customHeight="1">
      <x:c r="A25" s="24" t="str">
        <x:v>Prioritisation Strategy</x:v>
      </x:c>
      <x:c r="B25" s="24" t="str">
        <x:v>Prioritisation Strategy</x:v>
      </x:c>
      <x:c r="C25" s="24" t="str">
        <x:v>Prioritisation Strategy</x:v>
      </x:c>
      <x:c r="D25" s="24" t="str">
        <x:v>Prioritisation Strategy</x:v>
      </x:c>
      <x:c r="E25" s="24" t="str">
        <x:v>Prioritisation Strategy</x:v>
      </x:c>
      <x:c r="F25" s="24" t="str">
        <x:v>Prioritisation Strategy</x:v>
      </x:c>
    </x:row>
    <x:row r="26" ht="31" customHeight="1">
      <x:c r="A26" s="12" t="str">
        <x:v>Priority</x:v>
      </x:c>
      <x:c r="B26" s="12" t="str">
        <x:v>Meaning</x:v>
      </x:c>
      <x:c r="C26" s="12" t="str">
        <x:v>Application in FoodMind</x:v>
      </x:c>
      <x:c r="D26" s="12" t="str">
        <x:v>Sequencing rule</x:v>
      </x:c>
    </x:row>
    <x:row r="27">
      <x:c r="A27" s="18" t="str">
        <x:v>P0</x:v>
      </x:c>
      <x:c r="B27" s="18" t="str">
        <x:v>Must — critical path</x:v>
      </x:c>
      <x:c r="C27" s="18" t="str">
        <x:v>Recommendation-first vertical slice, trusted data/permissions, account/records/groups, feedback, ML/runtime foundation, integration and delivery assurance.</x:v>
      </x:c>
      <x:c r="D27" s="18" t="str">
        <x:v>Start first; blocks the end-to-end demonstration or safe use of the product.</x:v>
      </x:c>
    </x:row>
    <x:row r="28">
      <x:c r="A28" s="19" t="str">
        <x:v>P1</x:v>
      </x:c>
      <x:c r="B28" s="19" t="str">
        <x:v>Should — approved secondary workflow</x:v>
      </x:c>
      <x:c r="C28" s="19" t="str">
        <x:v>Cooking, Chatbot, Dashboard and Explore presentation remain in the frozen MVP but follow the P0 recommendation path and shared foundations.</x:v>
      </x:c>
      <x:c r="D28" s="19" t="str">
        <x:v>Develop after its P0 contracts/foundations are stable; still required before final scope freeze.</x:v>
      </x:c>
    </x:row>
    <x:row r="29">
      <x:c r="A29" s="19" t="str">
        <x:v>P2</x:v>
      </x:c>
      <x:c r="B29" s="19" t="str">
        <x:v>Could — scope-safe polish</x:v>
      </x:c>
      <x:c r="C29" s="19" t="str">
        <x:v>Accessibility refinement, visual polish and non-blocking usability improvements that do not add public feeds, ordering/payment or automatic inventory.</x:v>
      </x:c>
      <x:c r="D29" s="19" t="str">
        <x:v>Only after P0/P1 acceptance criteria and integration evidence are secure.</x:v>
      </x:c>
    </x:row>
    <x:row r="30">
      <x:c r="A30" s="19" t="str">
        <x:v>D</x:v>
      </x:c>
      <x:c r="B30" s="19" t="str">
        <x:v>Deferred — outside current MVP</x:v>
      </x:c>
      <x:c r="C30" s="19" t="str">
        <x:v>Public internet restaurant search, ordering/payment, public/follower feeds, automatic inventory capture and advanced recommender models.</x:v>
      </x:c>
      <x:c r="D30" s="19" t="str">
        <x:v>Do not implement without explicit scope approval and formal-source reconciliation.</x:v>
      </x:c>
    </x:row>
  </x:sheetData>
  <x:mergeCells>
    <x:mergeCell ref="A1:F1"/>
    <x:mergeCell ref="A2:F2"/>
    <x:mergeCell ref="A25:F25"/>
  </x:mergeCells>
  <x:dataValidations count="1">
    <x:dataValidation type="list" sqref="C5:C22">
      <x:formula1>"P0,P1,P2,D"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4565fc92d244d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449999809265137"/>
  <x:cols>
    <x:col min="1" max="1" width="20" hidden="0" customWidth="1"/>
    <x:col min="2" max="2" width="25" hidden="0" customWidth="1"/>
    <x:col min="3" max="3" width="61" hidden="0" customWidth="1"/>
    <x:col min="4" max="4" width="55" hidden="0" customWidth="1"/>
    <x:col min="5" max="5" width="17" customWidth="1"/>
  </x:cols>
  <x:sheetData>
    <x:row r="1" ht="28" customHeight="1">
      <x:c r="A1" s="4" t="str">
        <x:v>FoodMind — Business Process</x:v>
      </x:c>
      <x:c r="B1" s="4" t="str">
        <x:v>FoodMind — Business Process</x:v>
      </x:c>
      <x:c r="C1" s="4" t="str">
        <x:v>FoodMind — Business Process</x:v>
      </x:c>
      <x:c r="D1" s="4" t="str">
        <x:v>FoodMind — Business Process</x:v>
      </x:c>
      <x:c r="E1"/>
      <x:c r="F1"/>
    </x:row>
    <x:row r="2" ht="30" customHeight="1">
      <x:c r="A2" s="8" t="str">
        <x:v>Authorised decision flows for the recommendation-first experience, Cooking, Groups/Explore, Chatbot and analytics.</x:v>
      </x:c>
      <x:c r="B2" s="8" t="str">
        <x:v>Authorised decision flows for the recommendation-first experience, Cooking, Groups/Explore, Chatbot and analytics.</x:v>
      </x:c>
      <x:c r="C2" s="8" t="str">
        <x:v>Authorised decision flows for the recommendation-first experience, Cooking, Groups/Explore, Chatbot and analytics.</x:v>
      </x:c>
      <x:c r="D2" s="8" t="str">
        <x:v>Authorised decision flows for the recommendation-first experience, Cooking, Groups/Explore, Chatbot and analytics.</x:v>
      </x:c>
      <x:c r="E2"/>
      <x:c r="F2"/>
    </x:row>
    <x:row r="3">
      <x:c r="A3"/>
      <x:c r="B3"/>
      <x:c r="C3"/>
      <x:c r="D3"/>
      <x:c r="E3"/>
      <x:c r="F3"/>
    </x:row>
    <x:row r="4" ht="31" customHeight="1">
      <x:c r="A4" s="12" t="str">
        <x:v>Workflow</x:v>
      </x:c>
      <x:c r="B4" s="12" t="str">
        <x:v>Actor / Component</x:v>
      </x:c>
      <x:c r="C4" s="12" t="str">
        <x:v>Feature / Action</x:v>
      </x:c>
      <x:c r="D4" s="12" t="str">
        <x:v>Outcome / Control</x:v>
      </x:c>
      <x:c r="E4"/>
      <x:c r="F4"/>
    </x:row>
    <x:row r="5">
      <x:c r="A5" s="18" t="str">
        <x:v>Eat out &amp; delivery</x:v>
      </x:c>
      <x:c r="B5" s="18" t="str">
        <x:v>User</x:v>
      </x:c>
      <x:c r="C5" s="18" t="str">
        <x:v>Selects recommendation mode, optional trusted-group context and current budget/location/time constraints.</x:v>
      </x:c>
      <x:c r="D5" s="18" t="str">
        <x:v>Generate Recommendation is the primary action; only authorised context is submitted.</x:v>
      </x:c>
    </x:row>
    <x:row r="6">
      <x:c r="A6" s="19" t="str">
        <x:v>Eat out &amp; delivery</x:v>
      </x:c>
      <x:c r="B6" s="19" t="str">
        <x:v>Spring Boot backend</x:v>
      </x:c>
      <x:c r="C6" s="19" t="str">
        <x:v>Authenticates the user, resolves permissions/history/group context, retrieves candidates and applies hard constraints.</x:v>
      </x:c>
      <x:c r="D6" s="19" t="str">
        <x:v>Invalid or inaccessible candidates are removed before model ranking.</x:v>
      </x:c>
    </x:row>
    <x:row r="7">
      <x:c r="A7" s="19" t="str">
        <x:v>Eat out &amp; delivery</x:v>
      </x:c>
      <x:c r="B7" s="19" t="str">
        <x:v>Recommendation Agent</x:v>
      </x:c>
      <x:c r="C7" s="19" t="str">
        <x:v>Calls allow-listed rule/context tools and the private inference service, then applies diversity and verified reason codes.</x:v>
      </x:c>
      <x:c r="D7" s="19" t="str">
        <x:v>Returns up to three ordered Personal, Exploratory and Group-inspired candidates.</x:v>
      </x:c>
    </x:row>
    <x:row r="8">
      <x:c r="A8" s="19" t="str">
        <x:v>Eat out &amp; delivery</x:v>
      </x:c>
      <x:c r="B8" s="19" t="str">
        <x:v>Web / Android</x:v>
      </x:c>
      <x:c r="C8" s="19" t="str">
        <x:v>Spotlights the lead candidate and offers Try another without silently starting a new recommendation session.</x:v>
      </x:c>
      <x:c r="D8" s="19" t="str">
        <x:v>Candidate rank, type, evidence and session identity remain intact.</x:v>
      </x:c>
    </x:row>
    <x:row r="9">
      <x:c r="A9" s="19" t="str">
        <x:v>Eat out &amp; delivery</x:v>
      </x:c>
      <x:c r="B9" s="19" t="str">
        <x:v>User</x:v>
      </x:c>
      <x:c r="C9" s="19" t="str">
        <x:v>Accepts, rejects with reason, requests a re-recommendation or later rates the meal.</x:v>
      </x:c>
      <x:c r="D9" s="19" t="str">
        <x:v>Explicit feedback is persisted; passive non-selection remains unknown.</x:v>
      </x:c>
    </x:row>
    <x:row r="10">
      <x:c r="A10" s="19" t="str">
        <x:v>Eat out &amp; delivery</x:v>
      </x:c>
      <x:c r="B10" s="19" t="str">
        <x:v>User / Group</x:v>
      </x:c>
      <x:c r="C10" s="19" t="str">
        <x:v>Optionally shares the selected result back to the active trusted group.</x:v>
      </x:c>
      <x:c r="D10" s="19" t="str">
        <x:v>Only active members can view the shared result.</x:v>
      </x:c>
    </x:row>
    <x:row r="11">
      <x:c r="A11" s="19" t="str">
        <x:v>Cooking</x:v>
      </x:c>
      <x:c r="B11" s="19" t="str">
        <x:v>User</x:v>
      </x:c>
      <x:c r="C11" s="19" t="str">
        <x:v>Switches to Cooking and enters ingredients/pantry context, servings, time, budget and dietary rules.</x:v>
      </x:c>
      <x:c r="D11" s="19" t="str">
        <x:v>Inputs are manual or already authorised; no automatic inventory capture.</x:v>
      </x:c>
    </x:row>
    <x:row r="12">
      <x:c r="A12" s="19" t="str">
        <x:v>Cooking</x:v>
      </x:c>
      <x:c r="B12" s="19" t="str">
        <x:v>Spring Boot backend</x:v>
      </x:c>
      <x:c r="C12" s="19" t="str">
        <x:v>Validates request and calls the independent Cooking Planner Agent.</x:v>
      </x:c>
      <x:c r="D12" s="19" t="str">
        <x:v>Cooking does not call the recommendation model or Chatbot workflow.</x:v>
      </x:c>
    </x:row>
    <x:row r="13">
      <x:c r="A13" s="19" t="str">
        <x:v>Cooking</x:v>
      </x:c>
      <x:c r="B13" s="19" t="str">
        <x:v>Cooking Planner Agent</x:v>
      </x:c>
      <x:c r="C13" s="19" t="str">
        <x:v>Matches controlled recipe catalogue entries and validates ingredient/time/budget/diet constraints.</x:v>
      </x:c>
      <x:c r="D13" s="19" t="str">
        <x:v>Returns ingredients, ordered steps, warnings and source recipe ID.</x:v>
      </x:c>
    </x:row>
    <x:row r="14">
      <x:c r="A14" s="19" t="str">
        <x:v>Groups &amp; Explore</x:v>
      </x:c>
      <x:c r="B14" s="19" t="str">
        <x:v>User / Group owner</x:v>
      </x:c>
      <x:c r="C14" s="19" t="str">
        <x:v>Creates or joins a trusted group and manages membership.</x:v>
      </x:c>
      <x:c r="D14" s="19" t="str">
        <x:v>Membership status is the authority for Group-visible content.</x:v>
      </x:c>
    </x:row>
    <x:row r="15">
      <x:c r="A15" s="19" t="str">
        <x:v>Groups &amp; Explore</x:v>
      </x:c>
      <x:c r="B15" s="19" t="str">
        <x:v>User</x:v>
      </x:c>
      <x:c r="C15" s="19" t="str">
        <x:v>Creates food records with Private or Group visibility and can save visible items as Want to Try.</x:v>
      </x:c>
      <x:c r="D15" s="19" t="str">
        <x:v>Visibility is checked on every read, search, share and recommendation-context request.</x:v>
      </x:c>
    </x:row>
    <x:row r="16">
      <x:c r="A16" s="19" t="str">
        <x:v>Groups &amp; Explore</x:v>
      </x:c>
      <x:c r="B16" s="19" t="str">
        <x:v>Web / Android</x:v>
      </x:c>
      <x:c r="C16" s="19" t="str">
        <x:v>Displays group feed and image-led Explore content from authorised group-visible and curated platform sources.</x:v>
      </x:c>
      <x:c r="D16" s="19" t="str">
        <x:v>Explore is not a public/follower feed and performs no public internet search.</x:v>
      </x:c>
    </x:row>
    <x:row r="17">
      <x:c r="A17" s="19" t="str">
        <x:v>Chatbot</x:v>
      </x:c>
      <x:c r="B17" s="19" t="str">
        <x:v>User</x:v>
      </x:c>
      <x:c r="C17" s="19" t="str">
        <x:v>Starts a conversation and shares authorised Meal Note, Food Product or Place references.</x:v>
      </x:c>
      <x:c r="D17" s="19" t="str">
        <x:v>Shared references preserve the original access rules.</x:v>
      </x:c>
    </x:row>
    <x:row r="18">
      <x:c r="A18" s="19" t="str">
        <x:v>Chatbot</x:v>
      </x:c>
      <x:c r="B18" s="19" t="str">
        <x:v>Chatbot Orchestrator</x:v>
      </x:c>
      <x:c r="C18" s="19" t="str">
        <x:v>Routes search intent to Platform Search Agent and summary/compare intent to Content Summary Agent.</x:v>
      </x:c>
      <x:c r="D18" s="19" t="str">
        <x:v>Unsupported recommendation/cooking intents remain separate workflows.</x:v>
      </x:c>
    </x:row>
    <x:row r="19">
      <x:c r="A19" s="19" t="str">
        <x:v>Chatbot</x:v>
      </x:c>
      <x:c r="B19" s="19" t="str">
        <x:v>Spring Boot tools</x:v>
      </x:c>
      <x:c r="C19" s="19" t="str">
        <x:v>Resolve authorised content and return bounded structured sources.</x:v>
      </x:c>
      <x:c r="D19" s="19" t="str">
        <x:v>Agents cannot query PostgreSQL directly or retrieve revoked content.</x:v>
      </x:c>
    </x:row>
    <x:row r="20">
      <x:c r="A20" s="19" t="str">
        <x:v>Analytics</x:v>
      </x:c>
      <x:c r="B20" s="19" t="str">
        <x:v>Spring Boot backend</x:v>
      </x:c>
      <x:c r="C20" s="19" t="str">
        <x:v>Aggregates shared metric definitions for cuisine, spend, recommendation outcomes and weekly recap.</x:v>
      </x:c>
      <x:c r="D20" s="19" t="str">
        <x:v>The backend is the single source of metric truth.</x:v>
      </x:c>
    </x:row>
    <x:row r="21">
      <x:c r="A21" s="19" t="str">
        <x:v>Analytics</x:v>
      </x:c>
      <x:c r="B21" s="19" t="str">
        <x:v>Web / Android</x:v>
      </x:c>
      <x:c r="C21" s="19" t="str">
        <x:v>Renders accessible charts and text summaries in a dedicated Dashboard destination.</x:v>
      </x:c>
      <x:c r="D21" s="19" t="str">
        <x:v>Dashboard remains in MVP but does not replace the recommendation-first home.</x:v>
      </x:c>
    </x:row>
    <x:row r="22">
      <x:c r="A22" s="19" t="str">
        <x:v>Delivery</x:v>
      </x:c>
      <x:c r="B22" s="19" t="str">
        <x:v>Team</x:v>
      </x:c>
      <x:c r="C22" s="19" t="str">
        <x:v>Runs contract, permission, UAT, security, CI/CD and cloud-demonstration checks.</x:v>
      </x:c>
      <x:c r="D22" s="19" t="str">
        <x:v>A feature is complete only when it is buildable, demonstrable and evidenced.</x:v>
      </x:c>
    </x:row>
    <x:row r="23">
      <x:c r="B23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a204a46032847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449999809265137"/>
  <x:cols>
    <x:col min="1" max="1" width="32" hidden="0" customWidth="1"/>
    <x:col min="2" max="2" width="69" hidden="0" customWidth="1"/>
    <x:col min="3" max="3" width="63" hidden="0" customWidth="1"/>
    <x:col min="4" max="4" width="41" hidden="0" customWidth="1"/>
    <x:col min="5" max="5" width="56" hidden="0" customWidth="1"/>
  </x:cols>
  <x:sheetData>
    <x:row r="1" ht="28" customHeight="1">
      <x:c r="A1" s="4" t="str">
        <x:v>FoodMind — Architecture-Centric Features</x:v>
      </x:c>
      <x:c r="B1" s="4" t="str">
        <x:v>FoodMind — Architecture-Centric Features</x:v>
      </x:c>
      <x:c r="C1" s="4" t="str">
        <x:v>FoodMind — Architecture-Centric Features</x:v>
      </x:c>
      <x:c r="D1" s="4" t="str">
        <x:v>FoodMind — Architecture-Centric Features</x:v>
      </x:c>
      <x:c r="E1" s="4" t="str">
        <x:v>FoodMind — Architecture-Centric Features</x:v>
      </x:c>
    </x:row>
    <x:row r="2" ht="30" customHeight="1">
      <x:c r="A2" s="8" t="str">
        <x:v>Implementation technologies, repository ownership and trust boundaries used to plan vertical slices.</x:v>
      </x:c>
      <x:c r="B2" s="8" t="str">
        <x:v>Implementation technologies, repository ownership and trust boundaries used to plan vertical slices.</x:v>
      </x:c>
      <x:c r="C2" s="8" t="str">
        <x:v>Implementation technologies, repository ownership and trust boundaries used to plan vertical slices.</x:v>
      </x:c>
      <x:c r="D2" s="8" t="str">
        <x:v>Implementation technologies, repository ownership and trust boundaries used to plan vertical slices.</x:v>
      </x:c>
      <x:c r="E2" s="8" t="str">
        <x:v>Implementation technologies, repository ownership and trust boundaries used to plan vertical slices.</x:v>
      </x:c>
    </x:row>
    <x:row r="3">
      <x:c r="A3"/>
      <x:c r="B3"/>
      <x:c r="C3"/>
      <x:c r="D3"/>
      <x:c r="E3"/>
      <x:c r="F3"/>
    </x:row>
    <x:row r="4" ht="31" customHeight="1">
      <x:c r="A4" s="12" t="str">
        <x:v>Feature / Layer</x:v>
      </x:c>
      <x:c r="B4" s="12" t="str">
        <x:v>Implementation Technologies</x:v>
      </x:c>
      <x:c r="C4" s="12" t="str">
        <x:v>Repository</x:v>
      </x:c>
      <x:c r="D4" s="12" t="str">
        <x:v>Owner</x:v>
      </x:c>
      <x:c r="E4" s="12" t="str">
        <x:v>Architecture Notes</x:v>
      </x:c>
      <x:c r="F4"/>
    </x:row>
    <x:row r="5">
      <x:c r="A5" s="18" t="str">
        <x:v>Responsive Web client</x:v>
      </x:c>
      <x:c r="B5" s="18" t="str">
        <x:v>React, TypeScript, Vite; planned React Router, TanStack Query, Recharts and component/E2E testing</x:v>
      </x:c>
      <x:c r="C5" s="18" t="str">
        <x:v>foodmind-web</x:v>
      </x:c>
      <x:c r="D5" s="18" t="str">
        <x:v>Chen Yaqi</x:v>
      </x:c>
      <x:c r="E5" s="18" t="str">
        <x:v>Consumes only HTTPS Spring Boot /api/v1; current recommendation-first UI is a prototype without backend integration.</x:v>
      </x:c>
      <x:c r="F5"/>
    </x:row>
    <x:row r="6">
      <x:c r="A6" s="19" t="str">
        <x:v>Native Android client</x:v>
      </x:c>
      <x:c r="B6" s="19" t="str">
        <x:v>Kotlin; current XML/AppCompat prototype; target Jetpack Compose, Navigation, ViewModel, StateFlow, Retrofit/OkHttp and Vico</x:v>
      </x:c>
      <x:c r="C6" s="19" t="str">
        <x:v>foodmind-android</x:v>
      </x:c>
      <x:c r="D6" s="19" t="str">
        <x:v>Members A–D</x:v>
      </x:c>
      <x:c r="E6" s="19" t="str">
        <x:v>Uses the same business contracts as Web; no direct Agent, inference or database access.</x:v>
      </x:c>
      <x:c r="F6"/>
    </x:row>
    <x:row r="7">
      <x:c r="A7" s="19" t="str">
        <x:v>Public API and orchestration</x:v>
      </x:c>
      <x:c r="B7" s="19" t="str">
        <x:v>Java, Spring Boot, Spring Security, JWT, Bean Validation, Spring Data JPA, OpenAPI</x:v>
      </x:c>
      <x:c r="C7" s="19" t="str">
        <x:v>foodmind-backend</x:v>
      </x:c>
      <x:c r="D7" s="19" t="str">
        <x:v>Chen Yaqi</x:v>
      </x:c>
      <x:c r="E7" s="19" t="str">
        <x:v>Authoritative boundary for authentication, permissions, validation, persistence, analytics and private-service calls.</x:v>
      </x:c>
      <x:c r="F7"/>
    </x:row>
    <x:row r="8">
      <x:c r="A8" s="19" t="str">
        <x:v>Transactional data</x:v>
      </x:c>
      <x:c r="B8" s="19" t="str">
        <x:v>PostgreSQL; JPA entities, migrations, indexes and permission-aware queries</x:v>
      </x:c>
      <x:c r="C8" s="19" t="str">
        <x:v>foodmind-backend</x:v>
      </x:c>
      <x:c r="D8" s="19" t="str">
        <x:v>Chen Yaqi</x:v>
      </x:c>
      <x:c r="E8" s="19" t="str">
        <x:v>System of record for users, preferences, records, groups, recommendation sessions/feedback, cooking and chat metadata.</x:v>
      </x:c>
      <x:c r="F8"/>
    </x:row>
    <x:row r="9">
      <x:c r="A9" s="19" t="str">
        <x:v>Optional media storage</x:v>
      </x:c>
      <x:c r="B9" s="19" t="str">
        <x:v>S3-compatible object storage with server-issued references</x:v>
      </x:c>
      <x:c r="C9" s="19" t="str">
        <x:v>foodmind-backend</x:v>
      </x:c>
      <x:c r="D9" s="19" t="str">
        <x:v>Chen Yaqi</x:v>
      </x:c>
      <x:c r="E9" s="19" t="str">
        <x:v>Optional for MVP record photos; clients never receive storage credentials.</x:v>
      </x:c>
      <x:c r="F9"/>
    </x:row>
    <x:row r="10">
      <x:c r="A10" s="19" t="str">
        <x:v>Recommendation rules</x:v>
      </x:c>
      <x:c r="B10" s="19" t="str">
        <x:v>Deterministic Java filtering, candidate retrieval, reason-code validation and diversity constraints</x:v>
      </x:c>
      <x:c r="C10" s="19" t="str">
        <x:v>foodmind-backend</x:v>
      </x:c>
      <x:c r="D10" s="19" t="str">
        <x:v>Chen Yaqi</x:v>
      </x:c>
      <x:c r="E10" s="19" t="str">
        <x:v>Hard constraints and permissions run before ML; model predictions cannot override them.</x:v>
      </x:c>
      <x:c r="F10"/>
    </x:row>
    <x:row r="11">
      <x:c r="A11" s="19" t="str">
        <x:v>Agent runtime</x:v>
      </x:c>
      <x:c r="B11" s="19" t="str">
        <x:v>Python, FastAPI, Pydantic and bounded Agent graphs/tools</x:v>
      </x:c>
      <x:c r="C11" s="19" t="str">
        <x:v>foodmind-intelligence</x:v>
      </x:c>
      <x:c r="D11" s="19" t="str">
        <x:v>Chen Yaqi / Huang Qijun</x:v>
      </x:c>
      <x:c r="E11" s="19" t="str">
        <x:v>Five agents: Recommendation, Cooking Planner, Chatbot Orchestrator, Platform Search and Content Summary.</x:v>
      </x:c>
    </x:row>
    <x:row r="12">
      <x:c r="A12" s="19" t="str">
        <x:v>Runtime inference</x:v>
      </x:c>
      <x:c r="B12" s="19" t="str">
        <x:v>Private Python/FastAPI inference service, versioned feature schema, manifest/checksum validation</x:v>
      </x:c>
      <x:c r="C12" s="19" t="str">
        <x:v>foodmind-intelligence</x:v>
      </x:c>
      <x:c r="D12" s="19" t="str">
        <x:v>Chen Yaqi</x:v>
      </x:c>
      <x:c r="E12" s="19" t="str">
        <x:v>Logically separate from Agents and offline training; may share an MVP deployment unit while preserving contracts.</x:v>
      </x:c>
    </x:row>
    <x:row r="13">
      <x:c r="A13" s="19" t="str">
        <x:v>Offline recommendation ML</x:v>
      </x:c>
      <x:c r="B13" s="19" t="str">
        <x:v>Python, preprocessing, cosine-similarity UserCF/ItemCF, Logistic Regression, evaluation and packaging</x:v>
      </x:c>
      <x:c r="C13" s="19" t="str">
        <x:v>foodmind-ml</x:v>
      </x:c>
      <x:c r="D13" s="19" t="str">
        <x:v>Wu Aomo</x:v>
      </x:c>
      <x:c r="E13" s="19" t="str">
        <x:v>Produces an immutable package; no production data, online retraining or runtime HTTP serving.</x:v>
      </x:c>
    </x:row>
    <x:row r="14">
      <x:c r="A14" s="19" t="str">
        <x:v>Cooking Planner</x:v>
      </x:c>
      <x:c r="B14" s="19" t="str">
        <x:v>Controlled recipe catalogue, structured Pydantic request/response, ingredient/time/budget/diet validation</x:v>
      </x:c>
      <x:c r="C14" s="19" t="str">
        <x:v>foodmind-intelligence</x:v>
      </x:c>
      <x:c r="D14" s="19" t="str">
        <x:v>Huang Qijun</x:v>
      </x:c>
      <x:c r="E14" s="19" t="str">
        <x:v>Independent end-to-end chain with explicit fallback and source recipe.</x:v>
      </x:c>
    </x:row>
    <x:row r="15">
      <x:c r="A15" s="19" t="str">
        <x:v>Chatbot search/summary</x:v>
      </x:c>
      <x:c r="B15" s="19" t="str">
        <x:v>Agent routing plus allow-listed Spring Boot search/source-resolution tools</x:v>
      </x:c>
      <x:c r="C15" s="19" t="str">
        <x:v>foodmind-intelligence / foodmind-backend</x:v>
      </x:c>
      <x:c r="D15" s="19" t="str">
        <x:v>Chen Yaqi</x:v>
      </x:c>
      <x:c r="E15" s="19" t="str">
        <x:v>Grounded in authorised platform content; no recommendation, cooking or public internet search.</x:v>
      </x:c>
    </x:row>
    <x:row r="16">
      <x:c r="A16" s="19" t="str">
        <x:v>Analytics presentation</x:v>
      </x:c>
      <x:c r="B16" s="19" t="str">
        <x:v>Spring Boot aggregations, Recharts on Web, Vico on Android</x:v>
      </x:c>
      <x:c r="C16" s="19" t="str">
        <x:v>backend / web / android</x:v>
      </x:c>
      <x:c r="D16" s="19" t="str">
        <x:v>Chen Yaqi / Member C</x:v>
      </x:c>
      <x:c r="E16" s="19" t="str">
        <x:v>Clients render backend-owned metrics and do not recalculate definitions independently.</x:v>
      </x:c>
    </x:row>
    <x:row r="17">
      <x:c r="A17" s="19" t="str">
        <x:v>Contracts and fixtures</x:v>
      </x:c>
      <x:c r="B17" s="19" t="str">
        <x:v>OpenAPI public contracts, Pydantic internal schemas, JSON fixtures and model-package manifest</x:v>
      </x:c>
      <x:c r="C17" s="19" t="str">
        <x:v>backend / intelligence / ml / docs</x:v>
      </x:c>
      <x:c r="D17" s="19" t="str">
        <x:v>Chen Yaqi / Wu Aomo</x:v>
      </x:c>
      <x:c r="E17" s="19" t="str">
        <x:v>Versioned producer-consumer boundaries prevent drift across six repositories.</x:v>
      </x:c>
    </x:row>
    <x:row r="18">
      <x:c r="A18" s="19" t="str">
        <x:v>CI/CD and security</x:v>
      </x:c>
      <x:c r="B18" s="19" t="str">
        <x:v>GitHub Actions, build/test/lint, dependency/secret/container scans and OWASP ZAP</x:v>
      </x:c>
      <x:c r="C18" s="19" t="str">
        <x:v>all repositories</x:v>
      </x:c>
      <x:c r="D18" s="19" t="str">
        <x:v>Chen Yaqi / All members</x:v>
      </x:c>
      <x:c r="E18" s="19" t="str">
        <x:v>A reviewed PR and evidence are required before integration or release.</x:v>
      </x:c>
    </x:row>
    <x:row r="19">
      <x:c r="A19" s="19" t="str">
        <x:v>Cloud demonstration</x:v>
      </x:c>
      <x:c r="B19" s="19" t="str">
        <x:v>Docker, HTTPS, AWS-oriented application/database/object-storage deployment</x:v>
      </x:c>
      <x:c r="C19" s="19" t="str">
        <x:v>backend / web / intelligence</x:v>
      </x:c>
      <x:c r="D19" s="19" t="str">
        <x:v>Chen Yaqi</x:v>
      </x:c>
      <x:c r="E19" s="19" t="str">
        <x:v>Private services and credentials remain off the public network; exact deployment must be documented before cloud completion.</x:v>
      </x:c>
    </x:row>
    <x:row r="20">
      <x:c r="A20" s="19" t="str">
        <x:v>Documentation and evidence</x:v>
      </x:c>
      <x:c r="B20" s="19" t="str">
        <x:v>Markdown, formal DOCX/PPTX baselines, diagrams, status workbook, UAT/security reports and screenshots</x:v>
      </x:c>
      <x:c r="C20" s="19" t="str">
        <x:v>foodmind-docs</x:v>
      </x:c>
      <x:c r="D20" s="19" t="str">
        <x:v>Chen Yaqi / All members</x:v>
      </x:c>
      <x:c r="E20" s="19" t="str">
        <x:v>Formal Proposal/PPTX stay unchanged; implementation claims require repository evidence.</x:v>
      </x:c>
    </x:row>
    <x:row r="21">
      <x:c r="A21"/>
      <x:c r="B21"/>
    </x:row>
    <x:row r="22">
      <x:c r="A22"/>
      <x:c r="B22"/>
    </x:row>
    <x:row r="23" ht="22" customHeight="1">
      <x:c r="A23" s="24" t="str">
        <x:v>Prototyping and Delivery Strategy</x:v>
      </x:c>
      <x:c r="B23" s="24" t="str">
        <x:v>Prototyping and Delivery Strategy</x:v>
      </x:c>
      <x:c r="C23" s="24" t="str">
        <x:v>Prototyping and Delivery Strategy</x:v>
      </x:c>
      <x:c r="D23" s="24" t="str">
        <x:v>Prototyping and Delivery Strategy</x:v>
      </x:c>
      <x:c r="E23" s="24" t="str">
        <x:v>Prototyping and Delivery Strategy</x:v>
      </x:c>
    </x:row>
    <x:row r="24" ht="31" customHeight="1">
      <x:c r="A24" s="12" t="str">
        <x:v>Stage</x:v>
      </x:c>
      <x:c r="B24" s="12" t="str">
        <x:v>Focus</x:v>
      </x:c>
      <x:c r="C24" s="12" t="str">
        <x:v>Exit evidence</x:v>
      </x:c>
      <x:c r="D24" s="12" t="str">
        <x:v>Primary owners</x:v>
      </x:c>
    </x:row>
    <x:row r="25">
      <x:c r="A25" s="18" t="str">
        <x:v>1 — Demonstrate the interaction model</x:v>
      </x:c>
      <x:c r="B25" s="18" t="str">
        <x:v>Recommendation-first Web/Android shells, two modes, dominant recommendation CTA, Groups and permission-safe Explore presentation.</x:v>
      </x:c>
      <x:c r="C25" s="18" t="str">
        <x:v>Buildable mock/prototype, responsive/native screenshots and UX review.</x:v>
      </x:c>
      <x:c r="D25" s="18" t="str">
        <x:v>Chen Yaqi; Members A–D</x:v>
      </x:c>
    </x:row>
    <x:row r="26">
      <x:c r="A26" s="19" t="str">
        <x:v>2 — Prove the P0 vertical slice</x:v>
      </x:c>
      <x:c r="B26" s="19" t="str">
        <x:v>Account, preferences, records, groups, permissions, public API and deterministic recommendation fallback.</x:v>
      </x:c>
      <x:c r="C26" s="19" t="str">
        <x:v>OpenAPI/fixtures, database migrations, client integration and permission tests.</x:v>
      </x:c>
      <x:c r="D26" s="19" t="str">
        <x:v>Chen Yaqi; Members A–C</x:v>
      </x:c>
    </x:row>
    <x:row r="27">
      <x:c r="A27" s="19" t="str">
        <x:v>3 — Complete AI-supported workflows</x:v>
      </x:c>
      <x:c r="B27" s="19" t="str">
        <x:v>Recommendation Agent + inference package, Cooking Planner, Chatbot and Dashboard.</x:v>
      </x:c>
      <x:c r="C27" s="19" t="str">
        <x:v>Contract tests, Top-1/Top-3 evaluation, grounded sources, fallbacks and client flows.</x:v>
      </x:c>
      <x:c r="D27" s="19" t="str">
        <x:v>Chen Yaqi; Huang Qijun; Wu Aomo; Members C–D</x:v>
      </x:c>
    </x:row>
    <x:row r="28">
      <x:c r="A28" s="19" t="str">
        <x:v>4 — Integrate and freeze</x:v>
      </x:c>
      <x:c r="B28" s="19" t="str">
        <x:v>Android/Web parity, end-to-end tests, security, cloud demonstration, UAT and evidence.</x:v>
      </x:c>
      <x:c r="C28" s="19" t="str">
        <x:v>Reviewed commits, CI results, deployment URL/environment, ZAP/UAT reports and demo script.</x:v>
      </x:c>
      <x:c r="D28" s="19" t="str">
        <x:v>All members; coordinated by Chen Yaqi</x:v>
      </x:c>
    </x:row>
    <x:row r="29">
      <x:c r="B29"/>
    </x:row>
    <x:row r="30">
      <x:c r="B30"/>
    </x:row>
    <x:row r="31">
      <x:c r="B31"/>
    </x:row>
    <x:row r="32">
      <x:c r="B32"/>
    </x:row>
    <x:row r="33">
      <x:c r="B33"/>
    </x:row>
  </x:sheetData>
  <x:mergeCells>
    <x:mergeCell ref="A1:E1"/>
    <x:mergeCell ref="A2:E2"/>
    <x:mergeCell ref="A23:E23"/>
  </x:mergeCells>
  <x:pageMargins left="0.7" right="0.7" top="0.75" bottom="0.75" header="0.3" footer="0.3"/>
  <x:tableParts count="1">
    <x:tablePart xmlns:r="http://schemas.openxmlformats.org/officeDocument/2006/relationships" r:id="R74861f639bd64b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449999809265137"/>
  <x:cols>
    <x:col min="1" max="1" width="10" hidden="0" customWidth="1"/>
    <x:col min="2" max="2" width="33" hidden="0" customWidth="1"/>
    <x:col min="3" max="3" width="34" hidden="0" customWidth="1"/>
    <x:col min="4" max="4" width="28" hidden="0" customWidth="1"/>
    <x:col min="5" max="5" width="11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6" hidden="0" customWidth="1"/>
    <x:col min="11" max="11" width="58" hidden="0" customWidth="1"/>
  </x:cols>
  <x:sheetData>
    <x:row r="1" ht="28" customHeight="1">
      <x:c r="A1" s="4" t="str">
        <x:v>FoodMind — Project Status Report</x:v>
      </x:c>
      <x:c r="B1" s="4" t="str">
        <x:v>FoodMind — Project Status Report</x:v>
      </x:c>
      <x:c r="C1" s="4" t="str">
        <x:v>FoodMind — Project Status Report</x:v>
      </x:c>
      <x:c r="D1" s="4" t="str">
        <x:v>FoodMind — Project Status Report</x:v>
      </x:c>
      <x:c r="E1" s="4" t="str">
        <x:v>FoodMind — Project Status Report</x:v>
      </x:c>
      <x:c r="F1" s="4" t="str">
        <x:v>FoodMind — Project Status Report</x:v>
      </x:c>
      <x:c r="G1" s="4" t="str">
        <x:v>FoodMind — Project Status Report</x:v>
      </x:c>
      <x:c r="H1" s="4" t="str">
        <x:v>FoodMind — Project Status Report</x:v>
      </x:c>
      <x:c r="I1" s="4" t="str">
        <x:v>FoodMind — Project Status Report</x:v>
      </x:c>
      <x:c r="J1" s="4" t="str">
        <x:v>FoodMind — Project Status Report</x:v>
      </x:c>
      <x:c r="K1" s="4" t="str">
        <x:v>FoodMind — Project Status Report</x:v>
      </x:c>
    </x:row>
    <x:row r="2" ht="30" customHeight="1">
      <x:c r="A2" s="8" t="str">
        <x:v>Status date: 2026-07-28 | Evidence-based assessment. C means a working, demonstrable artefact—not merely planned documentation.</x:v>
      </x:c>
      <x:c r="B2" s="8" t="str">
        <x:v>Status date: 2026-07-28 | Evidence-based assessment. C means a working, demonstrable artefact—not merely planned documentation.</x:v>
      </x:c>
      <x:c r="C2" s="8" t="str">
        <x:v>Status date: 2026-07-28 | Evidence-based assessment. C means a working, demonstrable artefact—not merely planned documentation.</x:v>
      </x:c>
      <x:c r="D2" s="8" t="str">
        <x:v>Status date: 2026-07-28 | Evidence-based assessment. C means a working, demonstrable artefact—not merely planned documentation.</x:v>
      </x:c>
      <x:c r="E2" s="8" t="str">
        <x:v>Status date: 2026-07-28 | Evidence-based assessment. C means a working, demonstrable artefact—not merely planned documentation.</x:v>
      </x:c>
      <x:c r="F2" s="8" t="str">
        <x:v>Status date: 2026-07-28 | Evidence-based assessment. C means a working, demonstrable artefact—not merely planned documentation.</x:v>
      </x:c>
      <x:c r="G2" s="8" t="str">
        <x:v>Status date: 2026-07-28 | Evidence-based assessment. C means a working, demonstrable artefact—not merely planned documentation.</x:v>
      </x:c>
      <x:c r="H2" s="8" t="str">
        <x:v>Status date: 2026-07-28 | Evidence-based assessment. C means a working, demonstrable artefact—not merely planned documentation.</x:v>
      </x:c>
      <x:c r="I2" s="8" t="str">
        <x:v>Status date: 2026-07-28 | Evidence-based assessment. C means a working, demonstrable artefact—not merely planned documentation.</x:v>
      </x:c>
      <x:c r="J2" s="8" t="str">
        <x:v>Status date: 2026-07-28 | Evidence-based assessment. C means a working, demonstrable artefact—not merely planned documentation.</x:v>
      </x:c>
      <x:c r="K2" s="8" t="str">
        <x:v>Status date: 2026-07-28 | Evidence-based assessment. C means a working, demonstrable artefact—not merely planned documentation.</x:v>
      </x:c>
    </x:row>
    <x:row r="3">
      <x:c r="A3"/>
      <x:c r="B3"/>
      <x:c r="C3"/>
      <x:c r="D3"/>
      <x:c r="E3"/>
      <x:c r="F3"/>
    </x:row>
    <x:row r="4" ht="31" customHeight="1">
      <x:c r="A4" s="12" t="str">
        <x:v>ID</x:v>
      </x:c>
      <x:c r="B4" s="12" t="str">
        <x:v>Feature</x:v>
      </x:c>
      <x:c r="C4" s="12" t="str">
        <x:v>Technology / Repository</x:v>
      </x:c>
      <x:c r="D4" s="12" t="str">
        <x:v>Owner</x:v>
      </x:c>
      <x:c r="E4" s="12" t="str">
        <x:v>Priority</x:v>
      </x:c>
      <x:c r="F4" s="12" t="str">
        <x:v>Requirements</x:v>
      </x:c>
      <x:c r="G4" s="12" t="str">
        <x:v>Development</x:v>
      </x:c>
      <x:c r="H4" s="12" t="str">
        <x:v>Integration Testing</x:v>
      </x:c>
      <x:c r="I4" s="12" t="str">
        <x:v>Deployed to Cloud</x:v>
      </x:c>
      <x:c r="J4" s="12" t="str">
        <x:v>Overall Progress</x:v>
      </x:c>
      <x:c r="K4" s="12" t="str">
        <x:v>Evidence / Next Step</x:v>
      </x:c>
    </x:row>
    <x:row r="5">
      <x:c r="A5" s="18" t="str">
        <x:v>UX-01</x:v>
      </x:c>
      <x:c r="B5" s="18" t="str">
        <x:v>Recommendation-first Web home shell</x:v>
      </x:c>
      <x:c r="C5" s="18" t="str">
        <x:v>React / foodmind-web</x:v>
      </x:c>
      <x:c r="D5" s="18" t="str">
        <x:v>Chen Yaqi</x:v>
      </x:c>
      <x:c r="E5" s="20" t="str">
        <x:v>P0</x:v>
      </x:c>
      <x:c r="F5" s="20" t="str">
        <x:v>C</x:v>
      </x:c>
      <x:c r="G5" s="20" t="str">
        <x:v>C</x:v>
      </x:c>
      <x:c r="H5" s="20" t="str">
        <x:v>N</x:v>
      </x:c>
      <x:c r="I5" s="20" t="str">
        <x:v>N</x:v>
      </x:c>
      <x:c r="J5" s="30" t="n">
        <x:f>IFERROR((COUNTIF(F5:I5,$A$26)*$C$26+COUNTIF(F5:I5,$A$27)*$C$27+COUNTIF(F5:I5,$A$28)*$C$28)/(COUNTA(F5:I5)-COUNTIF(F5:I5,$A$29)),0)</x:f>
        <x:v>0.5</x:v>
      </x:c>
      <x:c r="K5" s="18" t="str">
        <x:v>Responsive two-mode prototype exists; next integrate routes, API, auth, charts and automated tests.</x:v>
      </x:c>
    </x:row>
    <x:row r="6">
      <x:c r="A6" s="19" t="str">
        <x:v>UX-02</x:v>
      </x:c>
      <x:c r="B6" s="19" t="str">
        <x:v>Recommendation-first Android home shell</x:v>
      </x:c>
      <x:c r="C6" s="19" t="str">
        <x:v>Kotlin XML/AppCompat / foodmind-android</x:v>
      </x:c>
      <x:c r="D6" s="19" t="str">
        <x:v>Member A / Member C</x:v>
      </x:c>
      <x:c r="E6" s="21" t="str">
        <x:v>P0</x:v>
      </x:c>
      <x:c r="F6" s="21" t="str">
        <x:v>C</x:v>
      </x:c>
      <x:c r="G6" s="21" t="str">
        <x:v>C</x:v>
      </x:c>
      <x:c r="H6" s="21" t="str">
        <x:v>N</x:v>
      </x:c>
      <x:c r="I6" s="21" t="str">
        <x:v>N</x:v>
      </x:c>
      <x:c r="J6" s="31" t="n">
        <x:f>IFERROR((COUNTIF(F6:I6,$A$26)*$C$26+COUNTIF(F6:I6,$A$27)*$C$27+COUNTIF(F6:I6,$A$28)*$C$28)/(COUNTA(F6:I6)-COUNTIF(F6:I6,$A$29)),0)</x:f>
        <x:v>0.5</x:v>
      </x:c>
      <x:c r="K6" s="19" t="str">
        <x:v>Native prototype exists; next migrate deliberately toward the target Compose architecture and backend integration.</x:v>
      </x:c>
    </x:row>
    <x:row r="7">
      <x:c r="A7" s="19" t="str">
        <x:v>UC-01</x:v>
      </x:c>
      <x:c r="B7" s="19" t="str">
        <x:v>Account, sign-in and preferences</x:v>
      </x:c>
      <x:c r="C7" s="19" t="str">
        <x:v>Spring Security/JWT + React/Android</x:v>
      </x:c>
      <x:c r="D7" s="19" t="str">
        <x:v>Chen Yaqi / Member A</x:v>
      </x:c>
      <x:c r="E7" s="21" t="str">
        <x:v>P0</x:v>
      </x:c>
      <x:c r="F7" s="21" t="str">
        <x:v>C</x:v>
      </x:c>
      <x:c r="G7" s="21" t="str">
        <x:v>N</x:v>
      </x:c>
      <x:c r="H7" s="21" t="str">
        <x:v>N</x:v>
      </x:c>
      <x:c r="I7" s="21" t="str">
        <x:v>N</x:v>
      </x:c>
      <x:c r="J7" s="31" t="n">
        <x:f>IFERROR((COUNTIF(F7:I7,$A$26)*$C$26+COUNTIF(F7:I7,$A$27)*$C$27+COUNTIF(F7:I7,$A$28)*$C$28)/(COUNTA(F7:I7)-COUNTIF(F7:I7,$A$29)),0)</x:f>
        <x:v>0.25</x:v>
      </x:c>
      <x:c r="K7" s="19" t="str">
        <x:v>Formal requirement is defined; implement public API, persistence, secure client sessions and parity tests.</x:v>
      </x:c>
    </x:row>
    <x:row r="8">
      <x:c r="A8" s="19" t="str">
        <x:v>UC-02</x:v>
      </x:c>
      <x:c r="B8" s="19" t="str">
        <x:v>Food/drink records and history</x:v>
      </x:c>
      <x:c r="C8" s="19" t="str">
        <x:v>Spring REST/JPA/PostgreSQL + clients</x:v>
      </x:c>
      <x:c r="D8" s="19" t="str">
        <x:v>Chen Yaqi / Member B</x:v>
      </x:c>
      <x:c r="E8" s="21" t="str">
        <x:v>P0</x:v>
      </x:c>
      <x:c r="F8" s="21" t="str">
        <x:v>C</x:v>
      </x:c>
      <x:c r="G8" s="21" t="str">
        <x:v>N</x:v>
      </x:c>
      <x:c r="H8" s="21" t="str">
        <x:v>N</x:v>
      </x:c>
      <x:c r="I8" s="21" t="str">
        <x:v>N</x:v>
      </x:c>
      <x:c r="J8" s="31" t="n">
        <x:f>IFERROR((COUNTIF(F8:I8,$A$26)*$C$26+COUNTIF(F8:I8,$A$27)*$C$27+COUNTIF(F8:I8,$A$28)*$C$28)/(COUNTA(F8:I8)-COUNTIF(F8:I8,$A$29)),0)</x:f>
        <x:v>0.25</x:v>
      </x:c>
      <x:c r="K8" s="19" t="str">
        <x:v>CRUD/history/visibility semantics are documented; no production backend or client feature flow yet.</x:v>
      </x:c>
    </x:row>
    <x:row r="9">
      <x:c r="A9" s="19" t="str">
        <x:v>UC-03</x:v>
      </x:c>
      <x:c r="B9" s="19" t="str">
        <x:v>Trusted groups, feed and Want to Try</x:v>
      </x:c>
      <x:c r="C9" s="19" t="str">
        <x:v>Group APIs + Web/Android</x:v>
      </x:c>
      <x:c r="D9" s="19" t="str">
        <x:v>Chen Yaqi / Member B</x:v>
      </x:c>
      <x:c r="E9" s="21" t="str">
        <x:v>P0</x:v>
      </x:c>
      <x:c r="F9" s="21" t="str">
        <x:v>C</x:v>
      </x:c>
      <x:c r="G9" s="21" t="str">
        <x:v>I</x:v>
      </x:c>
      <x:c r="H9" s="21" t="str">
        <x:v>N</x:v>
      </x:c>
      <x:c r="I9" s="21" t="str">
        <x:v>N</x:v>
      </x:c>
      <x:c r="J9" s="31" t="n">
        <x:f>IFERROR((COUNTIF(F9:I9,$A$26)*$C$26+COUNTIF(F9:I9,$A$27)*$C$27+COUNTIF(F9:I9,$A$28)*$C$28)/(COUNTA(F9:I9)-COUNTIF(F9:I9,$A$29)),0)</x:f>
        <x:v>0.375</x:v>
      </x:c>
      <x:c r="K9" s="19" t="str">
        <x:v>Web/Android prototypes show group context; implement membership, feed, visibility and Want to Try end to end.</x:v>
      </x:c>
    </x:row>
    <x:row r="10">
      <x:c r="A10" s="19" t="str">
        <x:v>UX-03</x:v>
      </x:c>
      <x:c r="B10" s="19" t="str">
        <x:v>Permission-safe Explore</x:v>
      </x:c>
      <x:c r="C10" s="19" t="str">
        <x:v>Authorised group/search composition + clients</x:v>
      </x:c>
      <x:c r="D10" s="19" t="str">
        <x:v>Chen Yaqi / Member B</x:v>
      </x:c>
      <x:c r="E10" s="21" t="str">
        <x:v>P1</x:v>
      </x:c>
      <x:c r="F10" s="21" t="str">
        <x:v>C</x:v>
      </x:c>
      <x:c r="G10" s="21" t="str">
        <x:v>I</x:v>
      </x:c>
      <x:c r="H10" s="21" t="str">
        <x:v>N</x:v>
      </x:c>
      <x:c r="I10" s="21" t="str">
        <x:v>N</x:v>
      </x:c>
      <x:c r="J10" s="31" t="n">
        <x:f>IFERROR((COUNTIF(F10:I10,$A$26)*$C$26+COUNTIF(F10:I10,$A$27)*$C$27+COUNTIF(F10:I10,$A$28)*$C$28)/(COUNTA(F10:I10)-COUNTIF(F10:I10,$A$29)),0)</x:f>
        <x:v>0.375</x:v>
      </x:c>
      <x:c r="K10" s="19" t="str">
        <x:v>Image-led prototype exists; implement backend source composition and negative permission tests.</x:v>
      </x:c>
    </x:row>
    <x:row r="11">
      <x:c r="A11" s="19" t="str">
        <x:v>UC-04</x:v>
      </x:c>
      <x:c r="B11" s="19" t="str">
        <x:v>Explainable ordered recommendations</x:v>
      </x:c>
      <x:c r="C11" s="19" t="str">
        <x:v>Spring + Agents + UserCF/ItemCF/LR</x:v>
      </x:c>
      <x:c r="D11" s="19" t="str">
        <x:v>Chen Yaqi / Wu Aomo / Member C</x:v>
      </x:c>
      <x:c r="E11" s="21" t="str">
        <x:v>P0</x:v>
      </x:c>
      <x:c r="F11" s="21" t="str">
        <x:v>C</x:v>
      </x:c>
      <x:c r="G11" s="21" t="str">
        <x:v>I</x:v>
      </x:c>
      <x:c r="H11" s="21" t="str">
        <x:v>N</x:v>
      </x:c>
      <x:c r="I11" s="21" t="str">
        <x:v>N</x:v>
      </x:c>
      <x:c r="J11" s="31" t="n">
        <x:f>IFERROR((COUNTIF(F11:I11,$A$26)*$C$26+COUNTIF(F11:I11,$A$27)*$C$27+COUNTIF(F11:I11,$A$28)*$C$28)/(COUNTA(F11:I11)-COUNTIF(F11:I11,$A$29)),0)</x:f>
        <x:v>0.375</x:v>
      </x:c>
      <x:c r="K11" s="19" t="str">
        <x:v>Lead-result interaction is prototyped; implement filtering, ranking, ordered candidates, reason codes and fallbacks.</x:v>
      </x:c>
    </x:row>
    <x:row r="12">
      <x:c r="A12" s="19" t="str">
        <x:v>UC-05</x:v>
      </x:c>
      <x:c r="B12" s="19" t="str">
        <x:v>Recommendation feedback loop</x:v>
      </x:c>
      <x:c r="C12" s="19" t="str">
        <x:v>Feedback API/events + clients + ML data</x:v>
      </x:c>
      <x:c r="D12" s="19" t="str">
        <x:v>Chen Yaqi / Wu Aomo / Member C</x:v>
      </x:c>
      <x:c r="E12" s="21" t="str">
        <x:v>P0</x:v>
      </x:c>
      <x:c r="F12" s="21" t="str">
        <x:v>C</x:v>
      </x:c>
      <x:c r="G12" s="21" t="str">
        <x:v>N</x:v>
      </x:c>
      <x:c r="H12" s="21" t="str">
        <x:v>N</x:v>
      </x:c>
      <x:c r="I12" s="21" t="str">
        <x:v>N</x:v>
      </x:c>
      <x:c r="J12" s="31" t="n">
        <x:f>IFERROR((COUNTIF(F12:I12,$A$26)*$C$26+COUNTIF(F12:I12,$A$27)*$C$27+COUNTIF(F12:I12,$A$28)*$C$28)/(COUNTA(F12:I12)-COUNTIF(F12:I12,$A$29)),0)</x:f>
        <x:v>0.25</x:v>
      </x:c>
      <x:c r="K12" s="19" t="str">
        <x:v>Implement session-linked accept/reject/recommend-again/rating events and supervised-label extraction.</x:v>
      </x:c>
    </x:row>
    <x:row r="13">
      <x:c r="A13" s="19" t="str">
        <x:v>UC-06</x:v>
      </x:c>
      <x:c r="B13" s="19" t="str">
        <x:v>Cooking plan</x:v>
      </x:c>
      <x:c r="C13" s="19" t="str">
        <x:v>Cooking Planner Agent + Web/Android</x:v>
      </x:c>
      <x:c r="D13" s="19" t="str">
        <x:v>Huang Qijun / Member D</x:v>
      </x:c>
      <x:c r="E13" s="21" t="str">
        <x:v>P1</x:v>
      </x:c>
      <x:c r="F13" s="21" t="str">
        <x:v>C</x:v>
      </x:c>
      <x:c r="G13" s="21" t="str">
        <x:v>N</x:v>
      </x:c>
      <x:c r="H13" s="21" t="str">
        <x:v>N</x:v>
      </x:c>
      <x:c r="I13" s="21" t="str">
        <x:v>N</x:v>
      </x:c>
      <x:c r="J13" s="31" t="n">
        <x:f>IFERROR((COUNTIF(F13:I13,$A$26)*$C$26+COUNTIF(F13:I13,$A$27)*$C$27+COUNTIF(F13:I13,$A$28)*$C$28)/(COUNTA(F13:I13)-COUNTIF(F13:I13,$A$29)),0)</x:f>
        <x:v>0.25</x:v>
      </x:c>
      <x:c r="K13" s="19" t="str">
        <x:v>Implement schema, controlled recipes, agent, fallback, backend route and both client flows.</x:v>
      </x:c>
    </x:row>
    <x:row r="14">
      <x:c r="A14" s="19" t="str">
        <x:v>UC-07</x:v>
      </x:c>
      <x:c r="B14" s="19" t="str">
        <x:v>Authorised Chatbot search</x:v>
      </x:c>
      <x:c r="C14" s="19" t="str">
        <x:v>Chatbot/Search Agents + Spring tools</x:v>
      </x:c>
      <x:c r="D14" s="19" t="str">
        <x:v>Chen Yaqi / Member D</x:v>
      </x:c>
      <x:c r="E14" s="21" t="str">
        <x:v>P1</x:v>
      </x:c>
      <x:c r="F14" s="21" t="str">
        <x:v>C</x:v>
      </x:c>
      <x:c r="G14" s="21" t="str">
        <x:v>N</x:v>
      </x:c>
      <x:c r="H14" s="21" t="str">
        <x:v>N</x:v>
      </x:c>
      <x:c r="I14" s="21" t="str">
        <x:v>N</x:v>
      </x:c>
      <x:c r="J14" s="31" t="n">
        <x:f>IFERROR((COUNTIF(F14:I14,$A$26)*$C$26+COUNTIF(F14:I14,$A$27)*$C$27+COUNTIF(F14:I14,$A$28)*$C$28)/(COUNTA(F14:I14)-COUNTIF(F14:I14,$A$29)),0)</x:f>
        <x:v>0.25</x:v>
      </x:c>
      <x:c r="K14" s="19" t="str">
        <x:v>Implement private runtime, bounded search tools, conversation UI and source-reference permission tests.</x:v>
      </x:c>
    </x:row>
    <x:row r="15">
      <x:c r="A15" s="19" t="str">
        <x:v>UC-08</x:v>
      </x:c>
      <x:c r="B15" s="19" t="str">
        <x:v>Chatbot summary and comparison</x:v>
      </x:c>
      <x:c r="C15" s="19" t="str">
        <x:v>Summary Agent + source resolver</x:v>
      </x:c>
      <x:c r="D15" s="19" t="str">
        <x:v>Chen Yaqi / Member D</x:v>
      </x:c>
      <x:c r="E15" s="21" t="str">
        <x:v>P1</x:v>
      </x:c>
      <x:c r="F15" s="21" t="str">
        <x:v>C</x:v>
      </x:c>
      <x:c r="G15" s="21" t="str">
        <x:v>N</x:v>
      </x:c>
      <x:c r="H15" s="21" t="str">
        <x:v>N</x:v>
      </x:c>
      <x:c r="I15" s="21" t="str">
        <x:v>N</x:v>
      </x:c>
      <x:c r="J15" s="31" t="n">
        <x:f>IFERROR((COUNTIF(F15:I15,$A$26)*$C$26+COUNTIF(F15:I15,$A$27)*$C$27+COUNTIF(F15:I15,$A$28)*$C$28)/(COUNTA(F15:I15)-COUNTIF(F15:I15,$A$29)),0)</x:f>
        <x:v>0.25</x:v>
      </x:c>
      <x:c r="K15" s="19" t="str">
        <x:v>Implement shared-reference resolver, grounded summary/compare output and revoked-access behaviour.</x:v>
      </x:c>
    </x:row>
    <x:row r="16">
      <x:c r="A16" s="19" t="str">
        <x:v>UC-09</x:v>
      </x:c>
      <x:c r="B16" s="19" t="str">
        <x:v>Dashboard and weekly recap</x:v>
      </x:c>
      <x:c r="C16" s="19" t="str">
        <x:v>Spring aggregations + Recharts/Vico</x:v>
      </x:c>
      <x:c r="D16" s="19" t="str">
        <x:v>Chen Yaqi / Member C</x:v>
      </x:c>
      <x:c r="E16" s="21" t="str">
        <x:v>P1</x:v>
      </x:c>
      <x:c r="F16" s="21" t="str">
        <x:v>C</x:v>
      </x:c>
      <x:c r="G16" s="21" t="str">
        <x:v>N</x:v>
      </x:c>
      <x:c r="H16" s="21" t="str">
        <x:v>N</x:v>
      </x:c>
      <x:c r="I16" s="21" t="str">
        <x:v>N</x:v>
      </x:c>
      <x:c r="J16" s="31" t="n">
        <x:f>IFERROR((COUNTIF(F16:I16,$A$26)*$C$26+COUNTIF(F16:I16,$A$27)*$C$27+COUNTIF(F16:I16,$A$28)*$C$28)/(COUNTA(F16:I16)-COUNTIF(F16:I16,$A$29)),0)</x:f>
        <x:v>0.25</x:v>
      </x:c>
      <x:c r="K16" s="19" t="str">
        <x:v>Implement metric definitions, aggregation endpoints, accessible charts and Web/Android parity.</x:v>
      </x:c>
    </x:row>
    <x:row r="17">
      <x:c r="A17" s="19" t="str">
        <x:v>ARC-01</x:v>
      </x:c>
      <x:c r="B17" s="19" t="str">
        <x:v>Public API, security and persistence</x:v>
      </x:c>
      <x:c r="C17" s="19" t="str">
        <x:v>foodmind-backend</x:v>
      </x:c>
      <x:c r="D17" s="19" t="str">
        <x:v>Chen Yaqi</x:v>
      </x:c>
      <x:c r="E17" s="21" t="str">
        <x:v>P0</x:v>
      </x:c>
      <x:c r="F17" s="21" t="str">
        <x:v>I</x:v>
      </x:c>
      <x:c r="G17" s="21" t="str">
        <x:v>N</x:v>
      </x:c>
      <x:c r="H17" s="21" t="str">
        <x:v>N</x:v>
      </x:c>
      <x:c r="I17" s="21" t="str">
        <x:v>N</x:v>
      </x:c>
      <x:c r="J17" s="31" t="n">
        <x:f>IFERROR((COUNTIF(F17:I17,$A$26)*$C$26+COUNTIF(F17:I17,$A$27)*$C$27+COUNTIF(F17:I17,$A$28)*$C$28)/(COUNTA(F17:I17)-COUNTIF(F17:I17,$A$29)),0)</x:f>
        <x:v>0.125</x:v>
      </x:c>
      <x:c r="K17" s="19" t="str">
        <x:v>Architecture conventions exist, but OpenAPI, modules, entities, security and runtime configuration are not implemented.</x:v>
      </x:c>
    </x:row>
    <x:row r="18">
      <x:c r="A18" s="19" t="str">
        <x:v>ARC-02</x:v>
      </x:c>
      <x:c r="B18" s="19" t="str">
        <x:v>Agent and runtime inference services</x:v>
      </x:c>
      <x:c r="C18" s="19" t="str">
        <x:v>foodmind-intelligence</x:v>
      </x:c>
      <x:c r="D18" s="19" t="str">
        <x:v>Chen Yaqi / Huang Qijun</x:v>
      </x:c>
      <x:c r="E18" s="21" t="str">
        <x:v>P0</x:v>
      </x:c>
      <x:c r="F18" s="21" t="str">
        <x:v>C</x:v>
      </x:c>
      <x:c r="G18" s="21" t="str">
        <x:v>N</x:v>
      </x:c>
      <x:c r="H18" s="21" t="str">
        <x:v>N</x:v>
      </x:c>
      <x:c r="I18" s="21" t="str">
        <x:v>N</x:v>
      </x:c>
      <x:c r="J18" s="31" t="n">
        <x:f>IFERROR((COUNTIF(F18:I18,$A$26)*$C$26+COUNTIF(F18:I18,$A$27)*$C$27+COUNTIF(F18:I18,$A$28)*$C$28)/(COUNTA(F18:I18)-COUNTIF(F18:I18,$A$29)),0)</x:f>
        <x:v>0.25</x:v>
      </x:c>
      <x:c r="K18" s="19" t="str">
        <x:v>Directory/design framework only; implement FastAPI apps, agent graphs, inference endpoint, model loader and tests.</x:v>
      </x:c>
    </x:row>
    <x:row r="19">
      <x:c r="A19" s="19" t="str">
        <x:v>ML-01</x:v>
      </x:c>
      <x:c r="B19" s="19" t="str">
        <x:v>Offline ML pipeline and model package</x:v>
      </x:c>
      <x:c r="C19" s="19" t="str">
        <x:v>foodmind-ml</x:v>
      </x:c>
      <x:c r="D19" s="19" t="str">
        <x:v>Wu Aomo</x:v>
      </x:c>
      <x:c r="E19" s="21" t="str">
        <x:v>P0</x:v>
      </x:c>
      <x:c r="F19" s="21" t="str">
        <x:v>C</x:v>
      </x:c>
      <x:c r="G19" s="21" t="str">
        <x:v>N</x:v>
      </x:c>
      <x:c r="H19" s="21" t="str">
        <x:v>N</x:v>
      </x:c>
      <x:c r="I19" s="21" t="str">
        <x:v>N</x:v>
      </x:c>
      <x:c r="J19" s="31" t="n">
        <x:f>IFERROR((COUNTIF(F19:I19,$A$26)*$C$26+COUNTIF(F19:I19,$A$27)*$C$27+COUNTIF(F19:I19,$A$28)*$C$28)/(COUNTA(F19:I19)-COUNTIF(F19:I19,$A$29)),0)</x:f>
        <x:v>0.25</x:v>
      </x:c>
      <x:c r="K19" s="19" t="str">
        <x:v>Design and release rules exist; implement data pipeline, CF features, LR training, evaluation, package and automation.</x:v>
      </x:c>
    </x:row>
    <x:row r="20">
      <x:c r="A20" s="19" t="str">
        <x:v>QA-01</x:v>
      </x:c>
      <x:c r="B20" s="19" t="str">
        <x:v>Cross-client parity and integration</x:v>
      </x:c>
      <x:c r="C20" s="19" t="str">
        <x:v>all implementation repositories</x:v>
      </x:c>
      <x:c r="D20" s="19" t="str">
        <x:v>Chen Yaqi / All members</x:v>
      </x:c>
      <x:c r="E20" s="21" t="str">
        <x:v>P0</x:v>
      </x:c>
      <x:c r="F20" s="21" t="str">
        <x:v>I</x:v>
      </x:c>
      <x:c r="G20" s="21" t="str">
        <x:v>N</x:v>
      </x:c>
      <x:c r="H20" s="21" t="str">
        <x:v>N</x:v>
      </x:c>
      <x:c r="I20" s="21" t="str">
        <x:v>N</x:v>
      </x:c>
      <x:c r="J20" s="31" t="n">
        <x:f>IFERROR((COUNTIF(F20:I20,$A$26)*$C$26+COUNTIF(F20:I20,$A$27)*$C$27+COUNTIF(F20:I20,$A$28)*$C$28)/(COUNTA(F20:I20)-COUNTIF(F20:I20,$A$29)),0)</x:f>
        <x:v>0.125</x:v>
      </x:c>
      <x:c r="K20" s="19" t="str">
        <x:v>Public/internal contracts, ERD, fixtures and UAT matrix must be created before end-to-end integration.</x:v>
      </x:c>
    </x:row>
    <x:row r="21">
      <x:c r="A21" s="19" t="str">
        <x:v>OPS-01</x:v>
      </x:c>
      <x:c r="B21" s="19" t="str">
        <x:v>CI/CD, cloud, security and UAT</x:v>
      </x:c>
      <x:c r="C21" s="19" t="str">
        <x:v>GitHub Actions / Docker / cloud</x:v>
      </x:c>
      <x:c r="D21" s="19" t="str">
        <x:v>Chen Yaqi / All members</x:v>
      </x:c>
      <x:c r="E21" s="21" t="str">
        <x:v>P0</x:v>
      </x:c>
      <x:c r="F21" s="21" t="str">
        <x:v>I</x:v>
      </x:c>
      <x:c r="G21" s="21" t="str">
        <x:v>N</x:v>
      </x:c>
      <x:c r="H21" s="21" t="str">
        <x:v>N</x:v>
      </x:c>
      <x:c r="I21" s="21" t="str">
        <x:v>N</x:v>
      </x:c>
      <x:c r="J21" s="31" t="n">
        <x:f>IFERROR((COUNTIF(F21:I21,$A$26)*$C$26+COUNTIF(F21:I21,$A$27)*$C$27+COUNTIF(F21:I21,$A$28)*$C$28)/(COUNTA(F21:I21)-COUNTIF(F21:I21,$A$29)),0)</x:f>
        <x:v>0.125</x:v>
      </x:c>
      <x:c r="K21" s="19" t="str">
        <x:v>Deployment runbooks, scans, cloud environment, ZAP and UAT evidence remain outstanding.</x:v>
      </x:c>
    </x:row>
    <x:row r="22">
      <x:c r="A22" s="19" t="str">
        <x:v>DOC-01</x:v>
      </x:c>
      <x:c r="B22" s="19" t="str">
        <x:v>Documentation and scope governance</x:v>
      </x:c>
      <x:c r="C22" s="19" t="str">
        <x:v>foodmind-docs + repository docs</x:v>
      </x:c>
      <x:c r="D22" s="19" t="str">
        <x:v>Chen Yaqi / All members</x:v>
      </x:c>
      <x:c r="E22" s="21" t="str">
        <x:v>P0</x:v>
      </x:c>
      <x:c r="F22" s="21" t="str">
        <x:v>C</x:v>
      </x:c>
      <x:c r="G22" s="21" t="str">
        <x:v>C</x:v>
      </x:c>
      <x:c r="H22" s="21" t="str">
        <x:v>NA</x:v>
      </x:c>
      <x:c r="I22" s="21" t="str">
        <x:v>NA</x:v>
      </x:c>
      <x:c r="J22" s="31" t="n">
        <x:f>IFERROR((COUNTIF(F22:I22,$A$26)*$C$26+COUNTIF(F22:I22,$A$27)*$C$27+COUNTIF(F22:I22,$A$28)*$C$28)/(COUNTA(F22:I22)-COUNTIF(F22:I22,$A$29)),0)</x:f>
        <x:v>1</x:v>
      </x:c>
      <x:c r="K22" s="19" t="str">
        <x:v>Formal baselines are preserved; canonical/product/architecture/API/UX/ML documents and ownership are aligned in reviewed PRs.</x:v>
      </x:c>
    </x:row>
    <x:row r="23">
      <x:c r="B23"/>
    </x:row>
    <x:row r="24">
      <x:c r="B24"/>
    </x:row>
    <x:row r="25">
      <x:c r="A25" s="25" t="str">
        <x:v>Status Legend and Formula Weights</x:v>
      </x:c>
      <x:c r="B25" s="25" t="str">
        <x:v>Status Legend and Formula Weights</x:v>
      </x:c>
      <x:c r="C25" s="25" t="str">
        <x:v>Status Legend and Formula Weights</x:v>
      </x:c>
      <x:c r="F25" s="25" t="str">
        <x:v>Status Summary</x:v>
      </x:c>
      <x:c r="G25" s="25" t="str">
        <x:v>Status Summary</x:v>
      </x:c>
      <x:c r="H25" s="25" t="str">
        <x:v>Status Summary</x:v>
      </x:c>
    </x:row>
    <x:row r="26" ht="31" customHeight="1">
      <x:c r="A26" s="18" t="str">
        <x:v>C</x:v>
      </x:c>
      <x:c r="B26" s="18" t="str">
        <x:v>Completed — demonstrable</x:v>
      </x:c>
      <x:c r="C26" s="26" t="n">
        <x:v>1</x:v>
      </x:c>
      <x:c r="F26" s="12" t="str">
        <x:v>KPI</x:v>
      </x:c>
      <x:c r="G26" s="12" t="str">
        <x:v>Value</x:v>
      </x:c>
      <x:c r="H26" s="12" t="str">
        <x:v>Interpretation</x:v>
      </x:c>
    </x:row>
    <x:row r="27">
      <x:c r="A27" s="19" t="str">
        <x:v>I</x:v>
      </x:c>
      <x:c r="B27" s="19" t="str">
        <x:v>In Progress</x:v>
      </x:c>
      <x:c r="C27" s="27" t="n">
        <x:v>0.5</x:v>
      </x:c>
      <x:c r="F27" s="18" t="str">
        <x:v>Tracked features</x:v>
      </x:c>
      <x:c r="G27" s="20" t="n">
        <x:f>COUNTA(A5:A22)</x:f>
        <x:v>18</x:v>
      </x:c>
      <x:c r="H27" s="18" t="str">
        <x:v>All rows in the evidence-based status register</x:v>
      </x:c>
    </x:row>
    <x:row r="28">
      <x:c r="A28" s="19" t="str">
        <x:v>N</x:v>
      </x:c>
      <x:c r="B28" s="19" t="str">
        <x:v>Not Started</x:v>
      </x:c>
      <x:c r="C28" s="27" t="n">
        <x:v>0</x:v>
      </x:c>
      <x:c r="F28" s="19" t="str">
        <x:v>Average overall progress</x:v>
      </x:c>
      <x:c r="G28" s="31" t="n">
        <x:f>AVERAGE(J5:J22)</x:f>
        <x:v>0.3194444444444444</x:v>
      </x:c>
      <x:c r="H28" s="19" t="str">
        <x:v>Formula-weighted across applicable stages</x:v>
      </x:c>
    </x:row>
    <x:row r="29">
      <x:c r="A29" s="19" t="str">
        <x:v>NA</x:v>
      </x:c>
      <x:c r="B29" s="19" t="str">
        <x:v>Not Applicable</x:v>
      </x:c>
      <x:c r="C29" s="27" t="n">
        <x:v>0</x:v>
      </x:c>
      <x:c r="F29" s="19" t="str">
        <x:v>Requirements completed</x:v>
      </x:c>
      <x:c r="G29" s="21" t="n">
        <x:f>COUNTIF(F5:F22,$A$26)</x:f>
        <x:v>15</x:v>
      </x:c>
      <x:c r="H29" s="19" t="str">
        <x:v>Rows marked C in Requirements</x:v>
      </x:c>
    </x:row>
    <x:row r="30">
      <x:c r="F30" s="19" t="str">
        <x:v>Development completed</x:v>
      </x:c>
      <x:c r="G30" s="21" t="n">
        <x:f>COUNTIF(G5:G22,$A$26)</x:f>
        <x:v>3</x:v>
      </x:c>
      <x:c r="H30" s="19" t="str">
        <x:v>Rows marked C in Development</x:v>
      </x:c>
    </x:row>
    <x:row r="31">
      <x:c r="F31" s="19" t="str">
        <x:v>Integration completed</x:v>
      </x:c>
      <x:c r="G31" s="21" t="n">
        <x:f>COUNTIF(H5:H22,$A$26)</x:f>
        <x:v>0</x:v>
      </x:c>
      <x:c r="H31" s="19" t="str">
        <x:v>Rows marked C in Integration Testing</x:v>
      </x:c>
    </x:row>
    <x:row r="33" ht="31" customHeight="1">
      <x:c r="A33" s="12" t="str">
        <x:v>Status</x:v>
      </x:c>
      <x:c r="B33" s="12" t="str">
        <x:v>Requirements</x:v>
      </x:c>
      <x:c r="C33" s="12" t="str">
        <x:v>Development</x:v>
      </x:c>
      <x:c r="D33" s="12" t="str">
        <x:v>Integration</x:v>
      </x:c>
      <x:c r="E33" s="12" t="str">
        <x:v>Cloud</x:v>
      </x:c>
    </x:row>
    <x:row r="34">
      <x:c r="A34" s="18" t="str">
        <x:v>C</x:v>
      </x:c>
      <x:c r="B34" s="18" t="n">
        <x:f>COUNTIF($F$5:$F$22,$A34)</x:f>
        <x:v>15</x:v>
      </x:c>
      <x:c r="C34" s="18" t="n">
        <x:f>COUNTIF($G$5:$G$22,$A34)</x:f>
        <x:v>3</x:v>
      </x:c>
      <x:c r="D34" s="18" t="n">
        <x:f>COUNTIF($H$5:$H$22,$A34)</x:f>
        <x:v>0</x:v>
      </x:c>
      <x:c r="E34" s="18" t="n">
        <x:f>COUNTIF($I$5:$I$22,$A34)</x:f>
        <x:v>0</x:v>
      </x:c>
    </x:row>
    <x:row r="35">
      <x:c r="A35" s="19" t="str">
        <x:v>I</x:v>
      </x:c>
      <x:c r="B35" s="19" t="n">
        <x:f>COUNTIF($F$5:$F$22,$A35)</x:f>
        <x:v>3</x:v>
      </x:c>
      <x:c r="C35" s="19" t="n">
        <x:f>COUNTIF($G$5:$G$22,$A35)</x:f>
        <x:v>3</x:v>
      </x:c>
      <x:c r="D35" s="19" t="n">
        <x:f>COUNTIF($H$5:$H$22,$A35)</x:f>
        <x:v>0</x:v>
      </x:c>
      <x:c r="E35" s="19" t="n">
        <x:f>COUNTIF($I$5:$I$22,$A35)</x:f>
        <x:v>0</x:v>
      </x:c>
    </x:row>
    <x:row r="36">
      <x:c r="A36" s="19" t="str">
        <x:v>N</x:v>
      </x:c>
      <x:c r="B36" s="19" t="n">
        <x:f>COUNTIF($F$5:$F$22,$A36)</x:f>
        <x:v>0</x:v>
      </x:c>
      <x:c r="C36" s="19" t="n">
        <x:f>COUNTIF($G$5:$G$22,$A36)</x:f>
        <x:v>12</x:v>
      </x:c>
      <x:c r="D36" s="19" t="n">
        <x:f>COUNTIF($H$5:$H$22,$A36)</x:f>
        <x:v>17</x:v>
      </x:c>
      <x:c r="E36" s="19" t="n">
        <x:f>COUNTIF($I$5:$I$22,$A36)</x:f>
        <x:v>17</x:v>
      </x:c>
    </x:row>
    <x:row r="37">
      <x:c r="A37" s="19" t="str">
        <x:v>NA</x:v>
      </x:c>
      <x:c r="B37" s="19" t="n">
        <x:f>COUNTIF($F$5:$F$22,$A37)</x:f>
        <x:v>0</x:v>
      </x:c>
      <x:c r="C37" s="19" t="n">
        <x:f>COUNTIF($G$5:$G$22,$A37)</x:f>
        <x:v>0</x:v>
      </x:c>
      <x:c r="D37" s="19" t="n">
        <x:f>COUNTIF($H$5:$H$22,$A37)</x:f>
        <x:v>1</x:v>
      </x:c>
      <x:c r="E37" s="19" t="n">
        <x:f>COUNTIF($I$5:$I$22,$A37)</x:f>
        <x:v>1</x:v>
      </x:c>
    </x:row>
    <x:row r="49" ht="22" customHeight="1">
      <x:c r="A49" s="24" t="str">
        <x:v>Evidence Basis and Reporting Rules</x:v>
      </x:c>
      <x:c r="B49" s="24" t="str">
        <x:v>Evidence Basis and Reporting Rules</x:v>
      </x:c>
      <x:c r="C49" s="24" t="str">
        <x:v>Evidence Basis and Reporting Rules</x:v>
      </x:c>
      <x:c r="D49" s="24" t="str">
        <x:v>Evidence Basis and Reporting Rules</x:v>
      </x:c>
      <x:c r="E49" s="24" t="str">
        <x:v>Evidence Basis and Reporting Rules</x:v>
      </x:c>
      <x:c r="F49" s="24" t="str">
        <x:v>Evidence Basis and Reporting Rules</x:v>
      </x:c>
      <x:c r="G49" s="24" t="str">
        <x:v>Evidence Basis and Reporting Rules</x:v>
      </x:c>
      <x:c r="H49" s="24" t="str">
        <x:v>Evidence Basis and Reporting Rules</x:v>
      </x:c>
      <x:c r="I49" s="24" t="str">
        <x:v>Evidence Basis and Reporting Rules</x:v>
      </x:c>
      <x:c r="J49" s="24" t="str">
        <x:v>Evidence Basis and Reporting Rules</x:v>
      </x:c>
      <x:c r="K49" s="24" t="str">
        <x:v>Evidence Basis and Reporting Rules</x:v>
      </x:c>
    </x:row>
    <x:row r="50">
      <x:c r="A50" s="51" t="str">
        <x:v>Formal scope baseline: foodmind-docs/Team5_AD_Project_Proposal.docx (read-only).</x:v>
      </x:c>
      <x:c r="B50" s="52"/>
      <x:c r="C50" s="52"/>
      <x:c r="D50" s="52"/>
      <x:c r="E50" s="52"/>
      <x:c r="F50" s="52"/>
      <x:c r="G50" s="52"/>
      <x:c r="H50" s="52"/>
      <x:c r="I50" s="52"/>
      <x:c r="J50" s="52"/>
      <x:c r="K50" s="53"/>
    </x:row>
    <x:row r="51">
      <x:c r="A51" s="54" t="str">
        <x:v>Formal narrative/architecture baseline: foodmind-docs/FoodMind_Presentation_Proposal.pptx (read-only).</x:v>
      </x:c>
      <x:c r="B51" s="55"/>
      <x:c r="C51" s="55"/>
      <x:c r="D51" s="55"/>
      <x:c r="E51" s="55"/>
      <x:c r="F51" s="55"/>
      <x:c r="G51" s="55"/>
      <x:c r="H51" s="55"/>
      <x:c r="I51" s="55"/>
      <x:c r="J51" s="55"/>
      <x:c r="K51" s="56"/>
    </x:row>
    <x:row r="52">
      <x:c r="A52" s="54" t="str">
        <x:v>Approved clarification and ownership: FoodMind_AI_Project_Context_and_Tutoring_Guide.md and planning/team-work-allocation.md.</x:v>
      </x:c>
      <x:c r="B52" s="55"/>
      <x:c r="C52" s="55"/>
      <x:c r="D52" s="55"/>
      <x:c r="E52" s="55"/>
      <x:c r="F52" s="55"/>
      <x:c r="G52" s="55"/>
      <x:c r="H52" s="55"/>
      <x:c r="I52" s="55"/>
      <x:c r="J52" s="55"/>
      <x:c r="K52" s="56"/>
    </x:row>
    <x:row r="53">
      <x:c r="A53" s="54" t="str">
        <x:v>Implementation evidence: repository README status statements, file trees and Git history reviewed on 2026-07-28.</x:v>
      </x:c>
      <x:c r="B53" s="55"/>
      <x:c r="C53" s="55"/>
      <x:c r="D53" s="55"/>
      <x:c r="E53" s="55"/>
      <x:c r="F53" s="55"/>
      <x:c r="G53" s="55"/>
      <x:c r="H53" s="55"/>
      <x:c r="I53" s="55"/>
      <x:c r="J53" s="55"/>
      <x:c r="K53" s="56"/>
    </x:row>
    <x:row r="54">
      <x:c r="A54" s="57" t="str">
        <x:v>C requires a working feature ready for demonstration; I means tangible work exists but acceptance is incomplete; N means no implementation evidence; NA is excluded from the progress denominator.</x:v>
      </x:c>
      <x:c r="B54" s="58"/>
      <x:c r="C54" s="58"/>
      <x:c r="D54" s="58"/>
      <x:c r="E54" s="58"/>
      <x:c r="F54" s="58"/>
      <x:c r="G54" s="58"/>
      <x:c r="H54" s="58"/>
      <x:c r="I54" s="58"/>
      <x:c r="J54" s="58"/>
      <x:c r="K54" s="59"/>
    </x:row>
  </x:sheetData>
  <x:mergeCells>
    <x:mergeCell ref="A1:K1"/>
    <x:mergeCell ref="A2:K2"/>
    <x:mergeCell ref="A25:C25"/>
    <x:mergeCell ref="F25:H25"/>
    <x:mergeCell ref="A49:K49"/>
    <x:mergeCell ref="A50:K50"/>
    <x:mergeCell ref="A51:K51"/>
    <x:mergeCell ref="A52:K52"/>
    <x:mergeCell ref="A53:K53"/>
    <x:mergeCell ref="A54:K54"/>
  </x:mergeCells>
  <x:conditionalFormatting sqref="J5:J22">
    <x:cfRule type="dataBar" priority="1">
      <x:dataBar>
        <x:cfvo type="min"/>
        <x:cfvo type="max"/>
        <x:color rgb="FF3E7C59"/>
      </x:dataBar>
      <x:extLst>
        <x:ext xmlns:x14="http://schemas.microsoft.com/office/spreadsheetml/2009/9/main" uri="{B025F937-C7B1-47D3-B67F-A62EFF666E3E}">
          <x14:id>{8707693D-DCD5-673E-5166-1368EC8403DF}</x14:id>
        </x:ext>
      </x:extLst>
    </x:cfRule>
  </x:conditionalFormatting>
  <x:conditionalFormatting sqref="F5:I22">
    <x:cfRule type="cellIs" dxfId="0" priority="2" operator="equal">
      <x:formula>"C"</x:formula>
    </x:cfRule>
    <x:cfRule type="cellIs" dxfId="1" priority="3" operator="equal">
      <x:formula>"I"</x:formula>
    </x:cfRule>
    <x:cfRule type="cellIs" dxfId="2" priority="4" operator="equal">
      <x:formula>"N"</x:formula>
    </x:cfRule>
    <x:cfRule type="cellIs" dxfId="3" priority="5" operator="equal">
      <x:formula>"NA"</x:formula>
    </x:cfRule>
  </x:conditionalFormatting>
  <x:conditionalFormatting sqref="E5:E22">
    <x:cfRule type="cellIs" dxfId="4" priority="6" operator="equal">
      <x:formula>"P0"</x:formula>
    </x:cfRule>
    <x:cfRule type="cellIs" dxfId="5" priority="7" operator="equal">
      <x:formula>"P1"</x:formula>
    </x:cfRule>
    <x:cfRule type="cellIs" dxfId="6" priority="8" operator="equal">
      <x:formula>"P2"</x:formula>
    </x:cfRule>
  </x:conditionalFormatting>
  <x:dataValidations count="2">
    <x:dataValidation type="list" sqref="E5:E22">
      <x:formula1>"P0,P1,P2,D"</x:formula1>
    </x:dataValidation>
    <x:dataValidation type="list" sqref="F5:I22">
      <x:formula1>"C,I,N,NA"</x:formula1>
    </x:dataValidation>
  </x:dataValidations>
  <x:pageMargins left="0.7" right="0.7" top="0.75" bottom="0.75" header="0.3" footer="0.3"/>
  <x:drawing xmlns:r="http://schemas.openxmlformats.org/officeDocument/2006/relationships" r:id="Ra75904fd2a9c457f"/>
  <x:tableParts count="1">
    <x:tablePart xmlns:r="http://schemas.openxmlformats.org/officeDocument/2006/relationships" r:id="R5fde854852cc478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707693D-DCD5-673E-5166-1368EC8403DF}">
            <x14:dataBar gradient="1">
              <x14:cfvo type="min"/>
              <x14:cfvo type="max"/>
              <x14:fillColor rgb="FF3E7C59"/>
            </x14:dataBar>
          </x14:cfRule>
          <xm:sqref>J5:J22</xm:sqref>
        </x14:conditionalFormatting>
      </x14:conditionalFormattings>
    </x:ext>
  </x:extLst>
</x:worksheet>
</file>